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showInkAnnotation="0" codeName="Questa_cartella_di_lavoro" defaultThemeVersion="124226"/>
  <mc:AlternateContent xmlns:mc="http://schemas.openxmlformats.org/markup-compatibility/2006">
    <mc:Choice Requires="x15">
      <x15ac:absPath xmlns:x15ac="http://schemas.microsoft.com/office/spreadsheetml/2010/11/ac" url="Q:\SCANNERTRASPORTI\DOC UFF TRASPORTI\[[[ [[[ SHEMA ENTRATE ]]] ]]]\"/>
    </mc:Choice>
  </mc:AlternateContent>
  <xr:revisionPtr revIDLastSave="0" documentId="13_ncr:1_{31F6B725-262A-4C2C-9F05-FFB93345598B}" xr6:coauthVersionLast="47" xr6:coauthVersionMax="47" xr10:uidLastSave="{00000000-0000-0000-0000-000000000000}"/>
  <bookViews>
    <workbookView xWindow="2730" yWindow="1305" windowWidth="14775" windowHeight="14295" xr2:uid="{00000000-000D-0000-FFFF-FFFF00000000}"/>
  </bookViews>
  <sheets>
    <sheet name="ENTRATE" sheetId="1" r:id="rId1"/>
    <sheet name="Zona di Carico" sheetId="5" r:id="rId2"/>
    <sheet name="STATS S." sheetId="2" r:id="rId3"/>
    <sheet name="TARE" sheetId="4" r:id="rId4"/>
    <sheet name="MERCI" sheetId="6" r:id="rId5"/>
  </sheets>
  <definedNames>
    <definedName name="COILS" comment="Merce Coils" localSheetId="2">'STATS S.'!$A$51:$A$66</definedName>
    <definedName name="SPUNTATORI">'STATS S.'!$E$35:$E$45</definedName>
  </definedNames>
  <calcPr calcId="191029" iterate="1" iterateDelta="1E-4"/>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 i="1" l="1"/>
  <c r="I4" i="1"/>
  <c r="I5" i="1"/>
  <c r="I6" i="1"/>
  <c r="I7" i="1"/>
  <c r="I8" i="1"/>
  <c r="I9" i="1"/>
  <c r="I10" i="1"/>
  <c r="I11" i="1"/>
  <c r="G24" i="5"/>
  <c r="G22" i="5"/>
  <c r="G21" i="5"/>
  <c r="G20" i="5"/>
  <c r="G19" i="5"/>
  <c r="G18" i="5"/>
  <c r="G17" i="5"/>
  <c r="G16" i="5"/>
  <c r="G15" i="5"/>
  <c r="G14" i="5"/>
  <c r="G13" i="5"/>
  <c r="G12" i="5"/>
  <c r="G11" i="5"/>
  <c r="G10" i="5"/>
  <c r="G9" i="5"/>
  <c r="G8" i="5"/>
  <c r="G7" i="5"/>
  <c r="G6" i="5"/>
  <c r="G5" i="5"/>
  <c r="N2" i="1"/>
  <c r="AA52" i="1" a="1"/>
  <c r="AA52" i="1" s="1"/>
  <c r="W103" i="1"/>
  <c r="W101" i="1"/>
  <c r="W99" i="1"/>
  <c r="W97" i="1"/>
  <c r="W95" i="1"/>
  <c r="W93" i="1"/>
  <c r="W91" i="1"/>
  <c r="W89" i="1"/>
  <c r="W87" i="1"/>
  <c r="W85" i="1"/>
  <c r="I17" i="1"/>
  <c r="I18" i="1"/>
  <c r="I52" i="1"/>
  <c r="I53" i="1"/>
  <c r="I54" i="1"/>
  <c r="I55" i="1"/>
  <c r="I56" i="1"/>
  <c r="I57"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A23" i="2"/>
  <c r="E23" i="2"/>
  <c r="H27" i="2"/>
  <c r="H25" i="2"/>
  <c r="H23" i="2"/>
  <c r="H21" i="2"/>
  <c r="H19" i="2"/>
  <c r="H17" i="2"/>
  <c r="H15" i="2"/>
  <c r="H13" i="2"/>
  <c r="H11" i="2"/>
  <c r="H9" i="2"/>
  <c r="H7" i="2"/>
  <c r="W33" i="1"/>
  <c r="W81" i="1"/>
  <c r="W79" i="1"/>
  <c r="W77" i="1"/>
  <c r="W75" i="1"/>
  <c r="W73" i="1"/>
  <c r="W71" i="1"/>
  <c r="W69" i="1"/>
  <c r="W67" i="1"/>
  <c r="W65" i="1"/>
  <c r="W63" i="1"/>
  <c r="W61" i="1"/>
  <c r="W59" i="1"/>
  <c r="W57" i="1"/>
  <c r="W55" i="1"/>
  <c r="W53" i="1"/>
  <c r="W51" i="1"/>
  <c r="W49" i="1"/>
  <c r="W47" i="1"/>
  <c r="W45" i="1"/>
  <c r="W43" i="1"/>
  <c r="A7" i="2" l="1"/>
  <c r="E7" i="2"/>
  <c r="A9" i="2"/>
  <c r="E9" i="2"/>
  <c r="A11" i="2"/>
  <c r="E11" i="2"/>
  <c r="A13" i="2"/>
  <c r="E13" i="2"/>
  <c r="A17" i="2"/>
  <c r="E17" i="2"/>
  <c r="A19" i="2"/>
  <c r="E19" i="2"/>
  <c r="A21" i="2"/>
  <c r="E21" i="2"/>
  <c r="A25" i="2"/>
  <c r="E25" i="2"/>
  <c r="A27" i="2"/>
  <c r="E27" i="2"/>
  <c r="N3" i="1" l="1"/>
  <c r="N4" i="1" l="1"/>
  <c r="N5" i="1" l="1"/>
  <c r="W39" i="1" l="1"/>
  <c r="W41" i="1"/>
  <c r="AE29" i="1" l="1"/>
  <c r="AE27" i="1"/>
  <c r="AE25" i="1"/>
  <c r="AE19" i="1"/>
  <c r="AE17" i="1"/>
  <c r="AE11" i="1"/>
  <c r="AE15" i="1"/>
  <c r="AE13" i="1"/>
  <c r="AE21" i="1"/>
  <c r="AE31" i="1"/>
  <c r="AE23" i="1"/>
  <c r="AE35" i="1"/>
  <c r="W37" i="1"/>
  <c r="AE33" i="1"/>
  <c r="W35" i="1" l="1"/>
  <c r="W31" i="1" l="1"/>
  <c r="W19" i="1"/>
  <c r="W21" i="1"/>
  <c r="W25" i="1"/>
  <c r="W29" i="1"/>
  <c r="W23" i="1"/>
  <c r="W27" i="1"/>
  <c r="X33" i="1"/>
  <c r="Y33" i="1" s="1"/>
  <c r="W17" i="1"/>
  <c r="W15" i="1"/>
  <c r="W12" i="1"/>
  <c r="W11" i="1"/>
  <c r="W10" i="1"/>
  <c r="X15" i="1"/>
  <c r="X12" i="1"/>
  <c r="X21" i="1"/>
  <c r="X23" i="1"/>
  <c r="X25" i="1"/>
  <c r="X27" i="1"/>
  <c r="X10" i="1"/>
  <c r="X11" i="1"/>
  <c r="X29" i="1"/>
  <c r="X31" i="1"/>
  <c r="Y12" i="1" l="1"/>
  <c r="Y11" i="1"/>
  <c r="Y29" i="1"/>
  <c r="Y21" i="1"/>
  <c r="Y31" i="1"/>
  <c r="Y10" i="1"/>
  <c r="Y15" i="1"/>
  <c r="Y27" i="1"/>
  <c r="Y23" i="1"/>
  <c r="Y25" i="1"/>
  <c r="I60" i="1"/>
  <c r="I46" i="1"/>
  <c r="I48" i="1"/>
  <c r="I49" i="1"/>
  <c r="I50" i="1"/>
  <c r="I51" i="1"/>
  <c r="I58" i="1"/>
  <c r="I59" i="1"/>
  <c r="I12" i="1"/>
  <c r="I13" i="1"/>
  <c r="I14" i="1"/>
  <c r="I15" i="1"/>
  <c r="I16" i="1"/>
  <c r="I19" i="1"/>
  <c r="X19" i="1"/>
  <c r="Y19" i="1" s="1"/>
  <c r="I20" i="1"/>
  <c r="I21" i="1"/>
  <c r="I22" i="1"/>
  <c r="I23" i="1"/>
  <c r="I24" i="1"/>
  <c r="I25" i="1"/>
  <c r="I26" i="1"/>
  <c r="I27" i="1"/>
  <c r="I28" i="1"/>
  <c r="I29" i="1"/>
  <c r="I30" i="1"/>
  <c r="I31" i="1"/>
  <c r="I32" i="1"/>
  <c r="I33" i="1"/>
  <c r="I34" i="1"/>
  <c r="I35" i="1"/>
  <c r="I36" i="1"/>
  <c r="I37" i="1"/>
  <c r="I38" i="1"/>
  <c r="I39" i="1"/>
  <c r="I40" i="1"/>
  <c r="I42" i="1"/>
  <c r="I43" i="1"/>
  <c r="I44" i="1"/>
  <c r="I45" i="1"/>
  <c r="G23" i="5"/>
  <c r="K6" i="1" l="1"/>
  <c r="K7" i="1"/>
  <c r="K8" i="1"/>
  <c r="K9" i="1"/>
  <c r="K10" i="1"/>
  <c r="K11" i="1"/>
  <c r="K12" i="1"/>
  <c r="K13" i="1"/>
  <c r="K14" i="1"/>
  <c r="K15" i="1"/>
  <c r="K16" i="1"/>
  <c r="K17" i="1"/>
  <c r="K18" i="1"/>
  <c r="K19" i="1"/>
  <c r="K20" i="1"/>
  <c r="K21" i="1"/>
  <c r="K22" i="1"/>
  <c r="K23" i="1"/>
  <c r="I47" i="1" l="1"/>
  <c r="K3" i="1" l="1"/>
  <c r="K4" i="1"/>
  <c r="K5" i="1"/>
  <c r="K2" i="1"/>
  <c r="X17" i="1" s="1"/>
  <c r="Y17" i="1" s="1"/>
  <c r="W6" i="1" l="1"/>
  <c r="I2" i="1"/>
  <c r="I41" i="1"/>
  <c r="G4" i="5" l="1"/>
  <c r="W4" i="1"/>
  <c r="W8"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 rosini</author>
    <author>Autore</author>
  </authors>
  <commentList>
    <comment ref="A1" authorId="0" shapeId="0" xr:uid="{00000000-0006-0000-0000-000001000000}">
      <text>
        <r>
          <rPr>
            <b/>
            <sz val="12"/>
            <color indexed="81"/>
            <rFont val="Tahoma"/>
            <family val="2"/>
          </rPr>
          <t>CLICCA SUL BOTTONE NUMERATO PER EVIDENZIARE LA RIGA CORRISPONDENTE</t>
        </r>
        <r>
          <rPr>
            <sz val="9"/>
            <color indexed="81"/>
            <rFont val="Tahoma"/>
            <family val="2"/>
          </rPr>
          <t xml:space="preserve">
</t>
        </r>
      </text>
    </comment>
    <comment ref="G1" authorId="0" shapeId="0" xr:uid="{00000000-0006-0000-0000-000006000000}">
      <text>
        <r>
          <rPr>
            <b/>
            <sz val="12"/>
            <color indexed="81"/>
            <rFont val="Tahoma"/>
            <family val="2"/>
          </rPr>
          <t>CLICCA SUL BOTTONE NUMERATO IN CASO DI CANCELLAZIONE DEL VIAGGIO</t>
        </r>
        <r>
          <rPr>
            <sz val="9"/>
            <color indexed="81"/>
            <rFont val="Tahoma"/>
            <family val="2"/>
          </rPr>
          <t xml:space="preserve">
</t>
        </r>
      </text>
    </comment>
    <comment ref="I1" authorId="1" shapeId="0" xr:uid="{00000000-0006-0000-0000-000008000000}">
      <text>
        <r>
          <rPr>
            <b/>
            <sz val="12"/>
            <color indexed="81"/>
            <rFont val="Tahoma"/>
            <family val="2"/>
          </rPr>
          <t xml:space="preserve">Istruzioni:
</t>
        </r>
        <r>
          <rPr>
            <sz val="12"/>
            <color indexed="81"/>
            <rFont val="Tahoma"/>
            <family val="2"/>
          </rPr>
          <t>Seleziona la casella d'entrata o d'uscita di seguito e poi clicca sul bottone per riportare l'orario</t>
        </r>
        <r>
          <rPr>
            <sz val="9"/>
            <color indexed="81"/>
            <rFont val="Tahoma"/>
            <family val="2"/>
          </rPr>
          <t xml:space="preserve">
</t>
        </r>
      </text>
    </comment>
    <comment ref="Q1" authorId="0" shapeId="0" xr:uid="{00000000-0006-0000-0000-00000C000000}">
      <text>
        <r>
          <rPr>
            <b/>
            <sz val="12"/>
            <color indexed="81"/>
            <rFont val="Tahoma"/>
            <family val="2"/>
          </rPr>
          <t>CLICCA SUL BOTTONE NUMERATO PER CANCELLARE EVIDENZIAZIONE SULLA RIGA CORRISPONDENTE</t>
        </r>
        <r>
          <rPr>
            <sz val="9"/>
            <color indexed="81"/>
            <rFont val="Tahoma"/>
            <family val="2"/>
          </rPr>
          <t xml:space="preserve">
</t>
        </r>
      </text>
    </comment>
    <comment ref="R1" authorId="1" shapeId="0" xr:uid="{00000000-0006-0000-0000-00000D000000}">
      <text>
        <r>
          <rPr>
            <b/>
            <sz val="12"/>
            <color indexed="81"/>
            <rFont val="Tahoma"/>
            <family val="2"/>
          </rPr>
          <t xml:space="preserve">Istruzioni:
</t>
        </r>
        <r>
          <rPr>
            <sz val="12"/>
            <color indexed="81"/>
            <rFont val="Tahoma"/>
            <family val="2"/>
          </rPr>
          <t>Seleziona la casella a destra e poi clicca sul bottone per fare comparire la data attuale.</t>
        </r>
        <r>
          <rPr>
            <sz val="9"/>
            <color indexed="81"/>
            <rFont val="Tahoma"/>
            <family val="2"/>
          </rPr>
          <t xml:space="preserve">
</t>
        </r>
      </text>
    </comment>
    <comment ref="U1" authorId="0" shapeId="0" xr:uid="{224AF6FD-2224-45B6-8CE5-7A18816EEDAB}">
      <text>
        <r>
          <rPr>
            <b/>
            <sz val="9"/>
            <color indexed="81"/>
            <rFont val="Tahoma"/>
            <family val="2"/>
          </rPr>
          <t>SALVATAGGIO DA USARE ESCLUSIVAMENTE A FINE GIORNATA</t>
        </r>
        <r>
          <rPr>
            <sz val="9"/>
            <color indexed="81"/>
            <rFont val="Tahoma"/>
            <family val="2"/>
          </rPr>
          <t xml:space="preserve">
</t>
        </r>
      </text>
    </comment>
    <comment ref="T39" authorId="1" shapeId="0" xr:uid="{00000000-0006-0000-0000-00000E000000}">
      <text>
        <r>
          <rPr>
            <b/>
            <sz val="9"/>
            <color indexed="81"/>
            <rFont val="Tahoma"/>
            <family val="2"/>
          </rPr>
          <t>INSERISCI LA TARGA DEL MEZZO CHE FA TRASFERIMENTO</t>
        </r>
        <r>
          <rPr>
            <sz val="9"/>
            <color indexed="81"/>
            <rFont val="Tahoma"/>
            <family val="2"/>
          </rPr>
          <t xml:space="preserve">
</t>
        </r>
      </text>
    </comment>
    <comment ref="S40" authorId="1" shapeId="0" xr:uid="{00000000-0006-0000-0000-00000F000000}">
      <text>
        <r>
          <rPr>
            <b/>
            <sz val="9"/>
            <color indexed="81"/>
            <rFont val="Tahoma"/>
            <family val="2"/>
          </rPr>
          <t xml:space="preserve">
INSERISCI NOME CLIENTE COME NELLO SCHEMA QUI A FIANCO</t>
        </r>
        <r>
          <rPr>
            <sz val="9"/>
            <color indexed="81"/>
            <rFont val="Tahoma"/>
            <family val="2"/>
          </rPr>
          <t xml:space="preserve">
</t>
        </r>
      </text>
    </comment>
    <comment ref="T41" authorId="1" shapeId="0" xr:uid="{00000000-0006-0000-0000-000010000000}">
      <text>
        <r>
          <rPr>
            <b/>
            <sz val="9"/>
            <color indexed="81"/>
            <rFont val="Tahoma"/>
            <family val="2"/>
          </rPr>
          <t>INSERISCI LA TARGA DEL MEZZO CHE FA TRASFERIMENTO</t>
        </r>
        <r>
          <rPr>
            <sz val="9"/>
            <color indexed="81"/>
            <rFont val="Tahoma"/>
            <family val="2"/>
          </rPr>
          <t xml:space="preserve">
</t>
        </r>
      </text>
    </comment>
    <comment ref="S42" authorId="1" shapeId="0" xr:uid="{00000000-0006-0000-0000-000011000000}">
      <text>
        <r>
          <rPr>
            <b/>
            <sz val="9"/>
            <color indexed="81"/>
            <rFont val="Tahoma"/>
            <family val="2"/>
          </rPr>
          <t xml:space="preserve">
INSERISCI NOME CLIENTE COME NELLO SCHEMA QUI A FIANCO</t>
        </r>
        <r>
          <rPr>
            <sz val="9"/>
            <color indexed="81"/>
            <rFont val="Tahoma"/>
            <family val="2"/>
          </rPr>
          <t xml:space="preserve">
</t>
        </r>
      </text>
    </comment>
    <comment ref="T43" authorId="1" shapeId="0" xr:uid="{00000000-0006-0000-0000-000012000000}">
      <text>
        <r>
          <rPr>
            <b/>
            <sz val="9"/>
            <color indexed="81"/>
            <rFont val="Tahoma"/>
            <family val="2"/>
          </rPr>
          <t>INSERISCI LA TARGA DEL MEZZO CHE FA TRASFERIMENTO</t>
        </r>
        <r>
          <rPr>
            <sz val="9"/>
            <color indexed="81"/>
            <rFont val="Tahoma"/>
            <family val="2"/>
          </rPr>
          <t xml:space="preserve">
</t>
        </r>
      </text>
    </comment>
    <comment ref="S44" authorId="1" shapeId="0" xr:uid="{00000000-0006-0000-0000-000013000000}">
      <text>
        <r>
          <rPr>
            <b/>
            <sz val="9"/>
            <color indexed="81"/>
            <rFont val="Tahoma"/>
            <family val="2"/>
          </rPr>
          <t xml:space="preserve">
INSERISCI NOME CLIENTE COME NELLO SCHEMA QUI A FIANCO
</t>
        </r>
        <r>
          <rPr>
            <sz val="9"/>
            <color indexed="81"/>
            <rFont val="Tahoma"/>
            <family val="2"/>
          </rPr>
          <t xml:space="preserve">
</t>
        </r>
      </text>
    </comment>
    <comment ref="T45" authorId="1" shapeId="0" xr:uid="{00000000-0006-0000-0000-000014000000}">
      <text>
        <r>
          <rPr>
            <b/>
            <sz val="9"/>
            <color indexed="81"/>
            <rFont val="Tahoma"/>
            <family val="2"/>
          </rPr>
          <t>INSERISCI LA TARGA DEL MEZZO CHE FA TRASFERIMENTO</t>
        </r>
        <r>
          <rPr>
            <sz val="9"/>
            <color indexed="81"/>
            <rFont val="Tahoma"/>
            <family val="2"/>
          </rPr>
          <t xml:space="preserve">
</t>
        </r>
      </text>
    </comment>
    <comment ref="S46" authorId="1" shapeId="0" xr:uid="{00000000-0006-0000-0000-000015000000}">
      <text>
        <r>
          <rPr>
            <b/>
            <sz val="9"/>
            <color indexed="81"/>
            <rFont val="Tahoma"/>
            <family val="2"/>
          </rPr>
          <t xml:space="preserve">
INSERISCI NOME CLIENTE COME NELLO SCHEMA QUI A FIANCO
</t>
        </r>
        <r>
          <rPr>
            <sz val="9"/>
            <color indexed="81"/>
            <rFont val="Tahoma"/>
            <family val="2"/>
          </rPr>
          <t xml:space="preserve">
</t>
        </r>
      </text>
    </comment>
    <comment ref="T47" authorId="1" shapeId="0" xr:uid="{00000000-0006-0000-0000-000016000000}">
      <text>
        <r>
          <rPr>
            <b/>
            <sz val="9"/>
            <color indexed="81"/>
            <rFont val="Tahoma"/>
            <family val="2"/>
          </rPr>
          <t>INSERISCI LA TARGA DEL MEZZO CHE FA TRASFERIMENTO</t>
        </r>
        <r>
          <rPr>
            <sz val="9"/>
            <color indexed="81"/>
            <rFont val="Tahoma"/>
            <family val="2"/>
          </rPr>
          <t xml:space="preserve">
</t>
        </r>
      </text>
    </comment>
    <comment ref="S48" authorId="1" shapeId="0" xr:uid="{00000000-0006-0000-0000-000017000000}">
      <text>
        <r>
          <rPr>
            <b/>
            <sz val="9"/>
            <color indexed="81"/>
            <rFont val="Tahoma"/>
            <family val="2"/>
          </rPr>
          <t xml:space="preserve">
INSERISCI NOME CLIENTE COME NELLO SCHEMA QUI A FIANCO
</t>
        </r>
        <r>
          <rPr>
            <sz val="9"/>
            <color indexed="81"/>
            <rFont val="Tahoma"/>
            <family val="2"/>
          </rPr>
          <t xml:space="preserve">
</t>
        </r>
      </text>
    </comment>
    <comment ref="T85" authorId="1" shapeId="0" xr:uid="{03CBB4D2-A6C4-4AF8-A72D-90E054A71138}">
      <text>
        <r>
          <rPr>
            <b/>
            <sz val="9"/>
            <color indexed="81"/>
            <rFont val="Tahoma"/>
            <family val="2"/>
          </rPr>
          <t>INSERISCI LA TARGA DEL MEZZO CHE FA TRASFERIMENTO</t>
        </r>
        <r>
          <rPr>
            <sz val="9"/>
            <color indexed="81"/>
            <rFont val="Tahoma"/>
            <family val="2"/>
          </rPr>
          <t xml:space="preserve">
</t>
        </r>
      </text>
    </comment>
    <comment ref="S86" authorId="1" shapeId="0" xr:uid="{C3B7F82D-3C92-430C-9150-4EE713652A5E}">
      <text>
        <r>
          <rPr>
            <b/>
            <sz val="9"/>
            <color indexed="81"/>
            <rFont val="Tahoma"/>
            <family val="2"/>
          </rPr>
          <t xml:space="preserve">
INSERISCI NOME CLIENTE COME NELLO SCHEMA QUI A FIANCO</t>
        </r>
        <r>
          <rPr>
            <sz val="9"/>
            <color indexed="81"/>
            <rFont val="Tahoma"/>
            <family val="2"/>
          </rPr>
          <t xml:space="preserve">
</t>
        </r>
      </text>
    </comment>
    <comment ref="T87" authorId="1" shapeId="0" xr:uid="{3734F354-BEDB-4624-826C-49351AC7C186}">
      <text>
        <r>
          <rPr>
            <b/>
            <sz val="9"/>
            <color indexed="81"/>
            <rFont val="Tahoma"/>
            <family val="2"/>
          </rPr>
          <t>INSERISCI LA TARGA DEL MEZZO CHE FA TRASFERIMENTO</t>
        </r>
        <r>
          <rPr>
            <sz val="9"/>
            <color indexed="81"/>
            <rFont val="Tahoma"/>
            <family val="2"/>
          </rPr>
          <t xml:space="preserve">
</t>
        </r>
      </text>
    </comment>
    <comment ref="S88" authorId="1" shapeId="0" xr:uid="{BA8E91A0-A330-49E4-A5E6-5BAAAE267A74}">
      <text>
        <r>
          <rPr>
            <b/>
            <sz val="9"/>
            <color indexed="81"/>
            <rFont val="Tahoma"/>
            <family val="2"/>
          </rPr>
          <t xml:space="preserve">
INSERISCI NOME CLIENTE COME NELLO SCHEMA QUI A FIANCO</t>
        </r>
        <r>
          <rPr>
            <sz val="9"/>
            <color indexed="81"/>
            <rFont val="Tahoma"/>
            <family val="2"/>
          </rPr>
          <t xml:space="preserve">
</t>
        </r>
      </text>
    </comment>
    <comment ref="T89" authorId="1" shapeId="0" xr:uid="{EE3EE6EE-0D90-4392-95BA-D8D82ABF64D4}">
      <text>
        <r>
          <rPr>
            <b/>
            <sz val="9"/>
            <color indexed="81"/>
            <rFont val="Tahoma"/>
            <family val="2"/>
          </rPr>
          <t>INSERISCI LA TARGA DEL MEZZO CHE FA TRASFERIMENTO</t>
        </r>
        <r>
          <rPr>
            <sz val="9"/>
            <color indexed="81"/>
            <rFont val="Tahoma"/>
            <family val="2"/>
          </rPr>
          <t xml:space="preserve">
</t>
        </r>
      </text>
    </comment>
    <comment ref="S90" authorId="1" shapeId="0" xr:uid="{A8C7D817-7864-4DB0-B607-F65CD09BE41F}">
      <text>
        <r>
          <rPr>
            <b/>
            <sz val="9"/>
            <color indexed="81"/>
            <rFont val="Tahoma"/>
            <family val="2"/>
          </rPr>
          <t xml:space="preserve">
INSERISCI NOME CLIENTE COME NELLO SCHEMA QUI A FIANCO
</t>
        </r>
        <r>
          <rPr>
            <sz val="9"/>
            <color indexed="81"/>
            <rFont val="Tahoma"/>
            <family val="2"/>
          </rPr>
          <t xml:space="preserve">
</t>
        </r>
      </text>
    </comment>
    <comment ref="T91" authorId="1" shapeId="0" xr:uid="{64E01CEE-30E3-40D7-87DB-30FE0B873297}">
      <text>
        <r>
          <rPr>
            <b/>
            <sz val="9"/>
            <color indexed="81"/>
            <rFont val="Tahoma"/>
            <family val="2"/>
          </rPr>
          <t>INSERISCI LA TARGA DEL MEZZO CHE FA TRASFERIMENTO</t>
        </r>
        <r>
          <rPr>
            <sz val="9"/>
            <color indexed="81"/>
            <rFont val="Tahoma"/>
            <family val="2"/>
          </rPr>
          <t xml:space="preserve">
</t>
        </r>
      </text>
    </comment>
    <comment ref="S92" authorId="1" shapeId="0" xr:uid="{3D0F0BBD-9AC7-41C3-BCC8-FCC1464A42C8}">
      <text>
        <r>
          <rPr>
            <b/>
            <sz val="9"/>
            <color indexed="81"/>
            <rFont val="Tahoma"/>
            <family val="2"/>
          </rPr>
          <t xml:space="preserve">
INSERISCI NOME CLIENTE COME NELLO SCHEMA QUI A FIANCO
</t>
        </r>
        <r>
          <rPr>
            <sz val="9"/>
            <color indexed="81"/>
            <rFont val="Tahoma"/>
            <family val="2"/>
          </rPr>
          <t xml:space="preserve">
</t>
        </r>
      </text>
    </comment>
    <comment ref="T93" authorId="1" shapeId="0" xr:uid="{33C327BA-2416-4236-87DF-C0698D254FDC}">
      <text>
        <r>
          <rPr>
            <b/>
            <sz val="9"/>
            <color indexed="81"/>
            <rFont val="Tahoma"/>
            <family val="2"/>
          </rPr>
          <t>INSERISCI LA TARGA DEL MEZZO CHE FA TRASFERIMENTO</t>
        </r>
        <r>
          <rPr>
            <sz val="9"/>
            <color indexed="81"/>
            <rFont val="Tahoma"/>
            <family val="2"/>
          </rPr>
          <t xml:space="preserve">
</t>
        </r>
      </text>
    </comment>
    <comment ref="S94" authorId="1" shapeId="0" xr:uid="{AF1B0354-93A1-4202-A980-EEE1380CA6C5}">
      <text>
        <r>
          <rPr>
            <b/>
            <sz val="9"/>
            <color indexed="81"/>
            <rFont val="Tahoma"/>
            <family val="2"/>
          </rPr>
          <t xml:space="preserve">
INSERISCI NOME CLIENTE COME NELLO SCHEMA QUI A FIANCO
</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<sst xmlns="http://schemas.openxmlformats.org/spreadsheetml/2006/main" count="1096" uniqueCount="356">
  <si>
    <t>N</t>
  </si>
  <si>
    <t>TARGA</t>
  </si>
  <si>
    <t>VETTORE</t>
  </si>
  <si>
    <t>CLIENTE</t>
  </si>
  <si>
    <t>MERCE</t>
  </si>
  <si>
    <t>Totale Camion Coils</t>
  </si>
  <si>
    <t>Totale Camion Lamiere</t>
  </si>
  <si>
    <t>Totale Camion Barre</t>
  </si>
  <si>
    <t>Totale Camion Blumi</t>
  </si>
  <si>
    <t>Totale Camion Vergella</t>
  </si>
  <si>
    <t>Totale camion entrati</t>
  </si>
  <si>
    <t>Totale Camion usciti</t>
  </si>
  <si>
    <t>Totale Camion Bulbi</t>
  </si>
  <si>
    <t>STATISTICHE GIORNALIERE</t>
  </si>
  <si>
    <t>Totale Camion Tubi</t>
  </si>
  <si>
    <t>Totale Camion Palancole</t>
  </si>
  <si>
    <t>LEGENDA PER NOTE E SEGNALAZIONI</t>
  </si>
  <si>
    <t xml:space="preserve">PRENOTAZIONE FASULLA </t>
  </si>
  <si>
    <t>T1</t>
  </si>
  <si>
    <t>INOX</t>
  </si>
  <si>
    <t xml:space="preserve">CAMBIO BOLLA </t>
  </si>
  <si>
    <t>NON CARICATO</t>
  </si>
  <si>
    <t>2 VIAGGI</t>
  </si>
  <si>
    <t>PRECEDENZA</t>
  </si>
  <si>
    <t xml:space="preserve">MANCA TARGA </t>
  </si>
  <si>
    <t>NON IDONEO</t>
  </si>
  <si>
    <t xml:space="preserve">Totale camion dentro: </t>
  </si>
  <si>
    <t xml:space="preserve">ASSENTE </t>
  </si>
  <si>
    <t>Totale Camion Tronchi</t>
  </si>
  <si>
    <t>TRASFERIMENTO</t>
  </si>
  <si>
    <t>SCARICA</t>
  </si>
  <si>
    <t>CAMBIO TARGA AL CARICO</t>
  </si>
  <si>
    <t>Totale Camion Eccezionali</t>
  </si>
  <si>
    <t>E</t>
  </si>
  <si>
    <t>CONTEGGIO VIAGGI PER MEZZO</t>
  </si>
  <si>
    <t>1° MEZZO</t>
  </si>
  <si>
    <t>2° MEZZO</t>
  </si>
  <si>
    <t>3° MEZZO</t>
  </si>
  <si>
    <t>4° MEZZO</t>
  </si>
  <si>
    <t>5° MEZZO</t>
  </si>
  <si>
    <t>NOTE/SEGNALAZIONI</t>
  </si>
  <si>
    <t>USCITO SENZA BOLLA</t>
  </si>
  <si>
    <t>STATISTICHE GIORNALIERE SPUNATATORI</t>
  </si>
  <si>
    <t>NOMI SPUNTATORI PRESENTI</t>
  </si>
  <si>
    <t>ABBREVIAZIONE</t>
  </si>
  <si>
    <t>CLAUDIO</t>
  </si>
  <si>
    <t>LELLO</t>
  </si>
  <si>
    <t>NR CARICHI EFFETTUATI</t>
  </si>
  <si>
    <t>CLA</t>
  </si>
  <si>
    <t>LEL</t>
  </si>
  <si>
    <t>STORTI</t>
  </si>
  <si>
    <t>TARA</t>
  </si>
  <si>
    <t>PIGOZZI</t>
  </si>
  <si>
    <t>TCF</t>
  </si>
  <si>
    <t>CE579WV</t>
  </si>
  <si>
    <t>ELENCO TARGHE E TARE MEZZI ECCEZIONALI</t>
  </si>
  <si>
    <t>EY507LD</t>
  </si>
  <si>
    <t>FD915KB</t>
  </si>
  <si>
    <t>FF984ZS</t>
  </si>
  <si>
    <t>FF983ZS</t>
  </si>
  <si>
    <t>FF944ZS</t>
  </si>
  <si>
    <t>FF943ZS</t>
  </si>
  <si>
    <t>FF943ZP</t>
  </si>
  <si>
    <t>FF942ZP</t>
  </si>
  <si>
    <t>FF941ZP</t>
  </si>
  <si>
    <t>FF940ZP</t>
  </si>
  <si>
    <t>FF939ZP</t>
  </si>
  <si>
    <t>FE173PB</t>
  </si>
  <si>
    <t>FE172PB</t>
  </si>
  <si>
    <t>FE077PB</t>
  </si>
  <si>
    <t>FE076PB</t>
  </si>
  <si>
    <t>FE075PB</t>
  </si>
  <si>
    <t>FE022PB</t>
  </si>
  <si>
    <t>FC198SR</t>
  </si>
  <si>
    <t>FC197SR</t>
  </si>
  <si>
    <t>FA999XG</t>
  </si>
  <si>
    <t>FA788XG</t>
  </si>
  <si>
    <t>FA769XG</t>
  </si>
  <si>
    <t>FA768XG</t>
  </si>
  <si>
    <t>FA748XG</t>
  </si>
  <si>
    <t>FA747XG</t>
  </si>
  <si>
    <t>FA746XG</t>
  </si>
  <si>
    <t>EZ379KV</t>
  </si>
  <si>
    <t>EZ350KV</t>
  </si>
  <si>
    <t>EZ306KV</t>
  </si>
  <si>
    <t>EZ296KV</t>
  </si>
  <si>
    <t>EZ226KV</t>
  </si>
  <si>
    <t>EZ225KV</t>
  </si>
  <si>
    <t>EZ224KV</t>
  </si>
  <si>
    <t>EZ206KV</t>
  </si>
  <si>
    <t>EZ158KV</t>
  </si>
  <si>
    <t>EZ098KV</t>
  </si>
  <si>
    <t>EZ097KV</t>
  </si>
  <si>
    <t>EZ027KV</t>
  </si>
  <si>
    <t>EZ026KV</t>
  </si>
  <si>
    <t>EX988XR</t>
  </si>
  <si>
    <t>EX987XR</t>
  </si>
  <si>
    <t>EX691XR</t>
  </si>
  <si>
    <t>EX690XR</t>
  </si>
  <si>
    <t>EW670XD</t>
  </si>
  <si>
    <t>ES207HD</t>
  </si>
  <si>
    <t>ES206HD</t>
  </si>
  <si>
    <t>ES205HD</t>
  </si>
  <si>
    <t>ES204HD</t>
  </si>
  <si>
    <t>ES203HD</t>
  </si>
  <si>
    <t>ES183HD</t>
  </si>
  <si>
    <t>ES182HD</t>
  </si>
  <si>
    <t>ES177HD</t>
  </si>
  <si>
    <t>ES176HD</t>
  </si>
  <si>
    <t>ES152HD</t>
  </si>
  <si>
    <t>ES151HD</t>
  </si>
  <si>
    <t>ES148HD</t>
  </si>
  <si>
    <t>FK601HJ</t>
  </si>
  <si>
    <t>ES099HD</t>
  </si>
  <si>
    <t>ES083HD</t>
  </si>
  <si>
    <t>ES082HD</t>
  </si>
  <si>
    <t>ES081HD</t>
  </si>
  <si>
    <t>ES080HD</t>
  </si>
  <si>
    <t>ES033HD</t>
  </si>
  <si>
    <t>ER896ZF</t>
  </si>
  <si>
    <t>EP455HB</t>
  </si>
  <si>
    <t>EP454HB</t>
  </si>
  <si>
    <t>EP453HB</t>
  </si>
  <si>
    <t>EL872VP</t>
  </si>
  <si>
    <t>EL693VP</t>
  </si>
  <si>
    <t>EF283EH</t>
  </si>
  <si>
    <t>EF282EH</t>
  </si>
  <si>
    <t>EF281EH</t>
  </si>
  <si>
    <t>EF280EH</t>
  </si>
  <si>
    <t>EB633FG</t>
  </si>
  <si>
    <t>EB628FG</t>
  </si>
  <si>
    <t>EB627FG</t>
  </si>
  <si>
    <t>EB626FG</t>
  </si>
  <si>
    <t>EB536FG</t>
  </si>
  <si>
    <t>EB535FG</t>
  </si>
  <si>
    <t>DS743EJ</t>
  </si>
  <si>
    <t>DS742EJ</t>
  </si>
  <si>
    <t>DC210WA</t>
  </si>
  <si>
    <t>CZ048RR</t>
  </si>
  <si>
    <t>CZ047RR</t>
  </si>
  <si>
    <t>CW426MZ</t>
  </si>
  <si>
    <t>CR615TW</t>
  </si>
  <si>
    <t>CR505TW</t>
  </si>
  <si>
    <t>CR395TW</t>
  </si>
  <si>
    <t>CR386TW</t>
  </si>
  <si>
    <t>CE019NJ</t>
  </si>
  <si>
    <t>CE018NJ</t>
  </si>
  <si>
    <t>NICOLI</t>
  </si>
  <si>
    <t>EH082BH</t>
  </si>
  <si>
    <t xml:space="preserve">FE991TJ  </t>
  </si>
  <si>
    <t xml:space="preserve">FE992TJ  </t>
  </si>
  <si>
    <t xml:space="preserve">FF486XL  </t>
  </si>
  <si>
    <t xml:space="preserve">ZB534AB  </t>
  </si>
  <si>
    <t>SARMI</t>
  </si>
  <si>
    <t>DV202HT</t>
  </si>
  <si>
    <t>EX103RP</t>
  </si>
  <si>
    <t>CL984GR</t>
  </si>
  <si>
    <t>BY682AM</t>
  </si>
  <si>
    <t>FG812CJ</t>
  </si>
  <si>
    <t>FH618HG</t>
  </si>
  <si>
    <t>DV212HT</t>
  </si>
  <si>
    <t>FA000SP</t>
  </si>
  <si>
    <t>FG252WR</t>
  </si>
  <si>
    <t>ET192PJ</t>
  </si>
  <si>
    <t>DN022YV</t>
  </si>
  <si>
    <t>CT370MT</t>
  </si>
  <si>
    <t>BK865XE</t>
  </si>
  <si>
    <t>CL241PF</t>
  </si>
  <si>
    <t>ED206KA</t>
  </si>
  <si>
    <t>DJ376EL</t>
  </si>
  <si>
    <t>EX904KH</t>
  </si>
  <si>
    <t>CN894WS</t>
  </si>
  <si>
    <t>EA664MR</t>
  </si>
  <si>
    <t>DS369PV</t>
  </si>
  <si>
    <t>CY524XC</t>
  </si>
  <si>
    <t>EL837HE</t>
  </si>
  <si>
    <t>EL838HE</t>
  </si>
  <si>
    <t>DN274MS</t>
  </si>
  <si>
    <t>BW271KH</t>
  </si>
  <si>
    <t>FG084WR</t>
  </si>
  <si>
    <t>DW320AJ</t>
  </si>
  <si>
    <t>DR441EL</t>
  </si>
  <si>
    <t>6° MEZZO</t>
  </si>
  <si>
    <t>7° MEZZO</t>
  </si>
  <si>
    <t>8° MEZZO</t>
  </si>
  <si>
    <t>9° MEZZO</t>
  </si>
  <si>
    <t>10° MEZZO</t>
  </si>
  <si>
    <t>11° MEZZO</t>
  </si>
  <si>
    <t>12° MEZZO</t>
  </si>
  <si>
    <t>13° MEZZO</t>
  </si>
  <si>
    <t>14° MEZZO</t>
  </si>
  <si>
    <t>15° MEZZO</t>
  </si>
  <si>
    <t>16° MEZZO</t>
  </si>
  <si>
    <t>17° MEZZO</t>
  </si>
  <si>
    <t>18° MEZZO</t>
  </si>
  <si>
    <t>19° MEZZO</t>
  </si>
  <si>
    <t>20° MEZZO</t>
  </si>
  <si>
    <t>21° MEZZO</t>
  </si>
  <si>
    <t>22° MEZZO</t>
  </si>
  <si>
    <t>BR109HE</t>
  </si>
  <si>
    <t>BR110HE</t>
  </si>
  <si>
    <t>BT579MK</t>
  </si>
  <si>
    <t>EP105JJ</t>
  </si>
  <si>
    <t>BW807KG</t>
  </si>
  <si>
    <t>CA685SY</t>
  </si>
  <si>
    <t>CA686SY</t>
  </si>
  <si>
    <t>CH596EZ</t>
  </si>
  <si>
    <t>CK619KR</t>
  </si>
  <si>
    <t>CK947KR</t>
  </si>
  <si>
    <t>CN265WS</t>
  </si>
  <si>
    <t>CN283XD</t>
  </si>
  <si>
    <t>CR365DC</t>
  </si>
  <si>
    <t>CR366DC</t>
  </si>
  <si>
    <t>DE146CP</t>
  </si>
  <si>
    <t>DE147CP</t>
  </si>
  <si>
    <t>DE539CP</t>
  </si>
  <si>
    <t>DE540CP</t>
  </si>
  <si>
    <t>DH220KC</t>
  </si>
  <si>
    <t>DL558CH</t>
  </si>
  <si>
    <t>DM320MJ</t>
  </si>
  <si>
    <t>DN052YV</t>
  </si>
  <si>
    <t>DN 155YV</t>
  </si>
  <si>
    <t>DP203YD</t>
  </si>
  <si>
    <t>DV133HT</t>
  </si>
  <si>
    <t>EC584AR</t>
  </si>
  <si>
    <t>EC585AR</t>
  </si>
  <si>
    <t>CX266FL</t>
  </si>
  <si>
    <t>DA433NC</t>
  </si>
  <si>
    <t>DA625NC</t>
  </si>
  <si>
    <t>DH209KC</t>
  </si>
  <si>
    <t>DL501CH</t>
  </si>
  <si>
    <t>DN342YV</t>
  </si>
  <si>
    <t>EC556AR</t>
  </si>
  <si>
    <t>EH881KS</t>
  </si>
  <si>
    <t>EH882KS</t>
  </si>
  <si>
    <t>EK126CD</t>
  </si>
  <si>
    <t>EK127CD</t>
  </si>
  <si>
    <t>EK128CD</t>
  </si>
  <si>
    <t>EM191KR</t>
  </si>
  <si>
    <t>EM192KR</t>
  </si>
  <si>
    <t>EM193KR</t>
  </si>
  <si>
    <t>EM194KR</t>
  </si>
  <si>
    <t>FG011WR</t>
  </si>
  <si>
    <t>FG012WR</t>
  </si>
  <si>
    <t>FG013WR</t>
  </si>
  <si>
    <t>FG014WR</t>
  </si>
  <si>
    <t>FG015WR</t>
  </si>
  <si>
    <t>FG016WR</t>
  </si>
  <si>
    <t>FG017WR</t>
  </si>
  <si>
    <t>FG018WR</t>
  </si>
  <si>
    <t>FG019WR</t>
  </si>
  <si>
    <t>FG020WR</t>
  </si>
  <si>
    <t>LEGENDA PER NOTE AGGIUNTIVE</t>
  </si>
  <si>
    <t>SCARICO SETRAMAR</t>
  </si>
  <si>
    <t>BUONO ANTICIPATO</t>
  </si>
  <si>
    <t>TUTTO IL GIORNO</t>
  </si>
  <si>
    <t>MANCA PRATICA</t>
  </si>
  <si>
    <t>FB974PD</t>
  </si>
  <si>
    <t>TERMINAL</t>
  </si>
  <si>
    <t>CS907HN</t>
  </si>
  <si>
    <t>MP</t>
  </si>
  <si>
    <t>NON ASS</t>
  </si>
  <si>
    <t>NO</t>
  </si>
  <si>
    <t>CR471LM</t>
  </si>
  <si>
    <t>EM936PS</t>
  </si>
  <si>
    <t xml:space="preserve"> EM937PS</t>
  </si>
  <si>
    <t>EM990YV</t>
  </si>
  <si>
    <t>EM991YV</t>
  </si>
  <si>
    <t>FG893NS</t>
  </si>
  <si>
    <t>FG894NS</t>
  </si>
  <si>
    <t>FG895NS</t>
  </si>
  <si>
    <t>FG896NS</t>
  </si>
  <si>
    <t>FG897NS</t>
  </si>
  <si>
    <t>PARATORI</t>
  </si>
  <si>
    <t>DM897DA</t>
  </si>
  <si>
    <t>DG604KC</t>
  </si>
  <si>
    <t>BN913PG</t>
  </si>
  <si>
    <t>CG975GD</t>
  </si>
  <si>
    <t>FA705YE</t>
  </si>
  <si>
    <t>FANINI</t>
  </si>
  <si>
    <t xml:space="preserve">TELEFONA AL CLIENTE </t>
  </si>
  <si>
    <t>FTN</t>
  </si>
  <si>
    <t>S1</t>
  </si>
  <si>
    <t>S2</t>
  </si>
  <si>
    <t>BELLINI</t>
  </si>
  <si>
    <t>BEL</t>
  </si>
  <si>
    <t>GHISA</t>
  </si>
  <si>
    <t>IN</t>
  </si>
  <si>
    <t>DIF</t>
  </si>
  <si>
    <t>ALESSANDRO</t>
  </si>
  <si>
    <t>PARTI PRESSE</t>
  </si>
  <si>
    <t>PROFILI ACC</t>
  </si>
  <si>
    <t>BANDA STA</t>
  </si>
  <si>
    <t>ZONA</t>
  </si>
  <si>
    <t>ORDINE</t>
  </si>
  <si>
    <t>GIUSEPPE</t>
  </si>
  <si>
    <t>GM</t>
  </si>
  <si>
    <t>AM</t>
  </si>
  <si>
    <t>ELENCO ZONE DI CARICO</t>
  </si>
  <si>
    <t>3/PICKING</t>
  </si>
  <si>
    <t>8/CAP1</t>
  </si>
  <si>
    <t>16/SILOS</t>
  </si>
  <si>
    <t>EX.MERZ.</t>
  </si>
  <si>
    <t>S.MARCO</t>
  </si>
  <si>
    <t>3B</t>
  </si>
  <si>
    <t>RA MILL</t>
  </si>
  <si>
    <t>MICRON MIN</t>
  </si>
  <si>
    <t>CAMION PER ZONA</t>
  </si>
  <si>
    <t>NIKO</t>
  </si>
  <si>
    <t>NIKODEM</t>
  </si>
  <si>
    <t>COLACEM</t>
  </si>
  <si>
    <t>MARCO L</t>
  </si>
  <si>
    <t>ML</t>
  </si>
  <si>
    <t>SOCO VECCHIA</t>
  </si>
  <si>
    <t>GQ</t>
  </si>
  <si>
    <t>Ideato e Creato da Marco Rosini</t>
  </si>
  <si>
    <t>STR.3</t>
  </si>
  <si>
    <t>CONSORZIO</t>
  </si>
  <si>
    <t>CIRILLO</t>
  </si>
  <si>
    <t>CIR</t>
  </si>
  <si>
    <t xml:space="preserve">COILS ACCIAIO </t>
  </si>
  <si>
    <t>COILS ACCIAIO INOX</t>
  </si>
  <si>
    <t>COILS A CALDO</t>
  </si>
  <si>
    <t>COILS A FREDDO</t>
  </si>
  <si>
    <t xml:space="preserve">COILS DECAPATI A </t>
  </si>
  <si>
    <t>COILS</t>
  </si>
  <si>
    <t xml:space="preserve">COILS ZINCATI </t>
  </si>
  <si>
    <t>COILS PREVERNICIATI</t>
  </si>
  <si>
    <t>COILS ELETTROGALVANIZZATI</t>
  </si>
  <si>
    <t>NASTRI A FREDDO</t>
  </si>
  <si>
    <t>COILS MAGNETICI</t>
  </si>
  <si>
    <t>COILS ALUZINCATI</t>
  </si>
  <si>
    <t>COILS A CALDO BUGNATI</t>
  </si>
  <si>
    <t>COILS STRIATI</t>
  </si>
  <si>
    <t>COILS FREDDO INOX</t>
  </si>
  <si>
    <t>COILS ALLUMINATI</t>
  </si>
  <si>
    <t>COILS ZINCATI PREVERNICIATI</t>
  </si>
  <si>
    <t>BARRE</t>
  </si>
  <si>
    <t>LAMIERE</t>
  </si>
  <si>
    <t>BLUMI</t>
  </si>
  <si>
    <t>TUBI</t>
  </si>
  <si>
    <t>PALANCOLE</t>
  </si>
  <si>
    <t>TRONCHI</t>
  </si>
  <si>
    <t>SEGATI</t>
  </si>
  <si>
    <t>BRAMME</t>
  </si>
  <si>
    <t>BILLETTE</t>
  </si>
  <si>
    <t>PROFILI ACCIAIO</t>
  </si>
  <si>
    <t>BANDA STAGNA</t>
  </si>
  <si>
    <t>COILS SU BANDA STAGNA</t>
  </si>
  <si>
    <t>DIZIONARIO</t>
  </si>
  <si>
    <t>ANDREA L</t>
  </si>
  <si>
    <t>AL</t>
  </si>
  <si>
    <t>QUARTICELLI</t>
  </si>
  <si>
    <t>SCHEMA ENTRATE - IDEATO, PROGETTATO, SVILUPPATO DA MARCO ROSINI © dal 2016</t>
  </si>
  <si>
    <t>CONTEGGIO</t>
  </si>
  <si>
    <t>CONTEGGIO PER CLIENTE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</si>
</sst>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410]General"/>
  </numFmts>
  <fonts count="48" x14ac:knownFonts="1">
    <font>
      <sz val="11"/>
      <color theme="1"/>
      <name val="Calibri"/>
      <family val="2"/>
      <scheme val="minor"/>
    </font>
    <font>
      <b/>
      <sz val="11"/>
      <color theme="1"/>
      <name val="Calibri"/>
      <family val="2"/>
      <scheme val="minor"/>
    </font>
    <font>
      <b/>
      <sz val="14"/>
      <color theme="1"/>
      <name val="Calibri"/>
      <family val="2"/>
      <scheme val="minor"/>
    </font>
    <font>
      <b/>
      <sz val="8"/>
      <color rgb="FF000000"/>
      <name val="Calibri"/>
      <family val="2"/>
    </font>
    <font>
      <sz val="9"/>
      <color indexed="81"/>
      <name val="Tahoma"/>
      <family val="2"/>
    </font>
    <font>
      <b/>
      <sz val="9"/>
      <color indexed="81"/>
      <name val="Tahoma"/>
      <family val="2"/>
    </font>
    <font>
      <b/>
      <sz val="11"/>
      <color rgb="FFFF0000"/>
      <name val="Calibri"/>
      <family val="2"/>
    </font>
    <font>
      <b/>
      <sz val="12"/>
      <color theme="1"/>
      <name val="Calibri"/>
      <family val="2"/>
      <scheme val="minor"/>
    </font>
    <font>
      <b/>
      <sz val="10"/>
      <color theme="1"/>
      <name val="Calibri"/>
      <family val="2"/>
      <scheme val="minor"/>
    </font>
    <font>
      <b/>
      <sz val="11"/>
      <color rgb="FFFF0000"/>
      <name val="Calibri"/>
      <family val="2"/>
      <scheme val="minor"/>
    </font>
    <font>
      <b/>
      <sz val="12"/>
      <color indexed="81"/>
      <name val="Tahoma"/>
      <family val="2"/>
    </font>
    <font>
      <sz val="12"/>
      <color indexed="81"/>
      <name val="Tahoma"/>
      <family val="2"/>
    </font>
    <font>
      <sz val="11"/>
      <color rgb="FF9C0006"/>
      <name val="Calibri"/>
      <family val="2"/>
      <scheme val="minor"/>
    </font>
    <font>
      <i/>
      <sz val="11"/>
      <color rgb="FF7F7F7F"/>
      <name val="Calibri"/>
      <family val="2"/>
      <scheme val="minor"/>
    </font>
    <font>
      <sz val="20"/>
      <color theme="1"/>
      <name val="Impact"/>
      <family val="2"/>
    </font>
    <font>
      <sz val="11"/>
      <color rgb="FF006100"/>
      <name val="Calibri"/>
      <family val="2"/>
      <scheme val="minor"/>
    </font>
    <font>
      <sz val="11"/>
      <color rgb="FF9C6500"/>
      <name val="Calibri"/>
      <family val="2"/>
      <scheme val="minor"/>
    </font>
    <font>
      <sz val="11"/>
      <name val="Calibri"/>
      <family val="2"/>
      <scheme val="minor"/>
    </font>
    <font>
      <sz val="11"/>
      <color rgb="FF000000"/>
      <name val="Calibri"/>
      <family val="2"/>
    </font>
    <font>
      <sz val="11"/>
      <color rgb="FF000000"/>
      <name val="Calibri"/>
      <family val="2"/>
      <scheme val="minor"/>
    </font>
    <font>
      <b/>
      <sz val="12"/>
      <color rgb="FFFF0000"/>
      <name val="Calibri"/>
      <family val="2"/>
      <scheme val="minor"/>
    </font>
    <font>
      <b/>
      <sz val="11"/>
      <color rgb="FF000000"/>
      <name val="Calibri"/>
      <family val="2"/>
    </font>
    <font>
      <b/>
      <sz val="11"/>
      <color theme="1"/>
      <name val="Calibri"/>
      <family val="2"/>
      <scheme val="minor"/>
    </font>
    <font>
      <b/>
      <sz val="14"/>
      <color theme="1"/>
      <name val="Calibri"/>
      <family val="2"/>
      <scheme val="minor"/>
    </font>
    <font>
      <b/>
      <sz val="12"/>
      <color theme="1"/>
      <name val="Calibri"/>
      <family val="2"/>
      <scheme val="minor"/>
    </font>
    <font>
      <b/>
      <sz val="1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i/>
      <sz val="8"/>
      <color rgb="FF7F7F7F"/>
      <name val="Calibri"/>
      <family val="2"/>
      <scheme val="minor"/>
    </font>
    <font>
      <sz val="8"/>
      <color theme="1"/>
      <name val="Calibri"/>
      <family val="2"/>
      <scheme val="minor"/>
    </font>
    <font>
      <sz val="11"/>
      <color rgb="FFFF0000"/>
      <name val="Calibri"/>
      <family val="2"/>
      <scheme val="minor"/>
    </font>
    <font>
      <sz val="11"/>
      <color theme="0"/>
      <name val="Calibri"/>
      <family val="2"/>
      <scheme val="minor"/>
    </font>
    <font>
      <b/>
      <sz val="16"/>
      <color theme="1"/>
      <name val="Calibri"/>
      <family val="2"/>
      <scheme val="minor"/>
    </font>
    <font>
      <b/>
      <sz val="11"/>
      <color theme="0"/>
      <name val="Calibri"/>
      <family val="2"/>
      <scheme val="minor"/>
    </font>
    <font>
      <b/>
      <sz val="10"/>
      <color theme="0"/>
      <name val="Calibri"/>
      <family val="2"/>
      <scheme val="minor"/>
    </font>
    <font>
      <b/>
      <sz val="11"/>
      <color rgb="FFFF0000"/>
      <name val="Calibri"/>
      <family val="2"/>
      <scheme val="minor"/>
    </font>
    <font>
      <b/>
      <i/>
      <sz val="8"/>
      <color theme="1"/>
      <name val="Calibri"/>
      <family val="2"/>
      <scheme val="minor"/>
    </font>
    <font>
      <b/>
      <i/>
      <u/>
      <sz val="8"/>
      <color theme="1"/>
      <name val="Calibri"/>
      <family val="2"/>
      <scheme val="minor"/>
    </font>
    <font>
      <i/>
      <sz val="8"/>
      <color theme="1"/>
      <name val="Calibri"/>
      <family val="2"/>
      <scheme val="minor"/>
    </font>
    <font>
      <b/>
      <sz val="10"/>
      <color theme="1"/>
      <name val="Calibri"/>
      <family val="2"/>
      <scheme val="minor"/>
    </font>
    <font>
      <b/>
      <sz val="10"/>
      <color rgb="FFFF0000"/>
      <name val="Calibri"/>
      <family val="2"/>
      <scheme val="minor"/>
    </font>
    <font>
      <b/>
      <sz val="11"/>
      <color rgb="FFC00000"/>
      <name val="Calibri"/>
      <family val="2"/>
      <scheme val="minor"/>
    </font>
    <font>
      <sz val="11"/>
      <color rgb="FFC00000"/>
      <name val="Calibri"/>
      <family val="2"/>
      <scheme val="minor"/>
    </font>
    <font>
      <b/>
      <sz val="11"/>
      <color rgb="FF006600"/>
      <name val="Calibri"/>
      <family val="2"/>
      <scheme val="minor"/>
    </font>
    <font>
      <sz val="10"/>
      <color theme="1"/>
      <name val="Arial Black"/>
      <family val="2"/>
    </font>
    <font>
      <sz val="10"/>
      <color theme="1"/>
      <name val="Calibri"/>
      <family val="2"/>
      <scheme val="minor"/>
    </font>
    <font>
      <sz val="14"/>
      <color rgb="FF0070C0"/>
      <name val="Calibri"/>
      <family val="2"/>
      <scheme val="minor"/>
    </font>
  </fonts>
  <fills count="4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rgb="FFFFC000"/>
        <bgColor indexed="64"/>
      </patternFill>
    </fill>
    <fill>
      <patternFill patternType="solid">
        <fgColor theme="6" tint="0.79998168889431442"/>
        <bgColor indexed="64"/>
      </patternFill>
    </fill>
    <fill>
      <patternFill patternType="solid">
        <fgColor rgb="FFCCFFCC"/>
        <bgColor indexed="64"/>
      </patternFill>
    </fill>
    <fill>
      <patternFill patternType="solid">
        <fgColor theme="9" tint="-0.249977111117893"/>
        <bgColor indexed="64"/>
      </patternFill>
    </fill>
    <fill>
      <patternFill patternType="solid">
        <fgColor rgb="FFFFC7CE"/>
      </patternFill>
    </fill>
    <fill>
      <patternFill patternType="solid">
        <fgColor rgb="FFC6EFCE"/>
      </patternFill>
    </fill>
    <fill>
      <patternFill patternType="solid">
        <fgColor rgb="FFFFEB9C"/>
      </patternFill>
    </fill>
    <fill>
      <gradientFill type="path" left="0.5" right="0.5" top="0.5" bottom="0.5">
        <stop position="0">
          <color theme="6" tint="0.80001220740379042"/>
        </stop>
        <stop position="1">
          <color rgb="FF85E345"/>
        </stop>
      </gradientFill>
    </fill>
    <fill>
      <gradientFill type="path" left="0.5" right="0.5" top="0.5" bottom="0.5">
        <stop position="0">
          <color rgb="FFFFCCFF"/>
        </stop>
        <stop position="1">
          <color rgb="FFFF66CC"/>
        </stop>
      </gradientFill>
    </fill>
    <fill>
      <gradientFill type="path" left="0.5" right="0.5" top="0.5" bottom="0.5">
        <stop position="0">
          <color theme="7" tint="0.80001220740379042"/>
        </stop>
        <stop position="1">
          <color theme="7" tint="0.40000610370189521"/>
        </stop>
      </gradientFill>
    </fill>
    <fill>
      <gradientFill type="path" left="0.5" right="0.5" top="0.5" bottom="0.5">
        <stop position="0">
          <color theme="6" tint="0.80001220740379042"/>
        </stop>
        <stop position="1">
          <color theme="6" tint="0.40000610370189521"/>
        </stop>
      </gradientFill>
    </fill>
    <fill>
      <gradientFill type="path" left="0.5" right="0.5" top="0.5" bottom="0.5">
        <stop position="0">
          <color theme="4" tint="0.80001220740379042"/>
        </stop>
        <stop position="1">
          <color theme="4" tint="0.40000610370189521"/>
        </stop>
      </gradientFill>
    </fill>
    <fill>
      <gradientFill type="path" left="0.5" right="0.5" top="0.5" bottom="0.5">
        <stop position="0">
          <color theme="5" tint="0.80001220740379042"/>
        </stop>
        <stop position="1">
          <color theme="5" tint="0.40000610370189521"/>
        </stop>
      </gradientFill>
    </fill>
    <fill>
      <gradientFill type="path" left="0.5" right="0.5" top="0.5" bottom="0.5">
        <stop position="0">
          <color theme="9" tint="0.80001220740379042"/>
        </stop>
        <stop position="1">
          <color theme="9" tint="0.40000610370189521"/>
        </stop>
      </gradientFill>
    </fill>
    <fill>
      <gradientFill type="path" left="0.5" right="0.5" top="0.5" bottom="0.5">
        <stop position="0">
          <color theme="0"/>
        </stop>
        <stop position="1">
          <color theme="0" tint="-0.1490218817712943"/>
        </stop>
      </gradientFill>
    </fill>
    <fill>
      <gradientFill type="path" left="0.5" right="0.5" top="0.5" bottom="0.5">
        <stop position="0">
          <color rgb="FFFFFFCC"/>
        </stop>
        <stop position="1">
          <color rgb="FFFFC000"/>
        </stop>
      </gradientFill>
    </fill>
    <fill>
      <gradientFill degree="180">
        <stop position="0">
          <color rgb="FFD1FFFF"/>
        </stop>
        <stop position="1">
          <color rgb="FF66FFFF"/>
        </stop>
      </gradientFill>
    </fill>
    <fill>
      <gradientFill degree="180">
        <stop position="0">
          <color theme="0" tint="-5.0965910824915313E-2"/>
        </stop>
        <stop position="1">
          <color theme="1"/>
        </stop>
      </gradientFill>
    </fill>
    <fill>
      <patternFill patternType="solid">
        <fgColor theme="9" tint="-0.24994659260841701"/>
        <bgColor auto="1"/>
      </patternFill>
    </fill>
    <fill>
      <gradientFill degree="180">
        <stop position="0">
          <color theme="0"/>
        </stop>
        <stop position="1">
          <color rgb="FFCCFFCC"/>
        </stop>
      </gradientFill>
    </fill>
    <fill>
      <gradientFill degree="180">
        <stop position="0">
          <color rgb="FFFFFFCC"/>
        </stop>
        <stop position="1">
          <color rgb="FFFFFF00"/>
        </stop>
      </gradientFill>
    </fill>
    <fill>
      <gradientFill degree="180">
        <stop position="0">
          <color theme="8" tint="0.80001220740379042"/>
        </stop>
        <stop position="1">
          <color theme="8" tint="0.40000610370189521"/>
        </stop>
      </gradientFill>
    </fill>
    <fill>
      <gradientFill degree="180">
        <stop position="0">
          <color theme="8" tint="0.80001220740379042"/>
        </stop>
        <stop position="1">
          <color rgb="FF00B0F0"/>
        </stop>
      </gradientFill>
    </fill>
    <fill>
      <gradientFill degree="180">
        <stop position="0">
          <color theme="9" tint="0.80001220740379042"/>
        </stop>
        <stop position="1">
          <color theme="9" tint="0.40000610370189521"/>
        </stop>
      </gradientFill>
    </fill>
    <fill>
      <gradientFill degree="180">
        <stop position="0">
          <color theme="0"/>
        </stop>
        <stop position="1">
          <color theme="6" tint="0.59999389629810485"/>
        </stop>
      </gradientFill>
    </fill>
    <fill>
      <gradientFill degree="180">
        <stop position="0">
          <color theme="5" tint="0.80001220740379042"/>
        </stop>
        <stop position="1">
          <color theme="5" tint="0.59999389629810485"/>
        </stop>
      </gradientFill>
    </fill>
    <fill>
      <gradientFill degree="180">
        <stop position="0">
          <color theme="0"/>
        </stop>
        <stop position="1">
          <color rgb="FFFFFFCC"/>
        </stop>
      </gradientFill>
    </fill>
    <fill>
      <gradientFill degree="180">
        <stop position="0">
          <color theme="5" tint="0.80001220740379042"/>
        </stop>
        <stop position="1">
          <color rgb="FFFF7C80"/>
        </stop>
      </gradientFill>
    </fill>
    <fill>
      <gradientFill degree="180">
        <stop position="0">
          <color theme="7" tint="0.80001220740379042"/>
        </stop>
        <stop position="1">
          <color rgb="FF9999FF"/>
        </stop>
      </gradientFill>
    </fill>
    <fill>
      <gradientFill degree="180">
        <stop position="0">
          <color theme="6" tint="0.80001220740379042"/>
        </stop>
        <stop position="1">
          <color rgb="FF006600"/>
        </stop>
      </gradientFill>
    </fill>
    <fill>
      <gradientFill degree="180">
        <stop position="0">
          <color theme="0"/>
        </stop>
        <stop position="1">
          <color theme="0" tint="-5.0965910824915313E-2"/>
        </stop>
      </gradientFill>
    </fill>
    <fill>
      <patternFill patternType="solid">
        <fgColor rgb="FFFF0000"/>
        <bgColor indexed="64"/>
      </patternFill>
    </fill>
    <fill>
      <gradientFill degree="90">
        <stop position="0">
          <color rgb="FFFFFFCC"/>
        </stop>
        <stop position="0.5">
          <color rgb="FFFFC000"/>
        </stop>
        <stop position="1">
          <color rgb="FFFFFFCC"/>
        </stop>
      </gradientFill>
    </fill>
    <fill>
      <patternFill patternType="darkTrellis">
        <fgColor theme="0"/>
        <bgColor rgb="FFFF0000"/>
      </patternFill>
    </fill>
    <fill>
      <patternFill patternType="lightTrellis">
        <fgColor theme="4" tint="0.59996337778862885"/>
        <bgColor indexed="65"/>
      </patternFill>
    </fill>
    <fill>
      <patternFill patternType="lightGrid">
        <fgColor rgb="FFFFC000"/>
        <bgColor auto="1"/>
      </patternFill>
    </fill>
    <fill>
      <gradientFill type="path" left="0.5" right="0.5" top="0.5" bottom="0.5">
        <stop position="0">
          <color theme="0"/>
        </stop>
        <stop position="1">
          <color rgb="FFFFCCFF"/>
        </stop>
      </gradientFill>
    </fill>
    <fill>
      <patternFill patternType="darkTrellis">
        <fgColor theme="0"/>
        <bgColor theme="0"/>
      </patternFill>
    </fill>
    <fill>
      <patternFill patternType="solid">
        <fgColor rgb="FFCCFF99"/>
        <bgColor indexed="64"/>
      </patternFill>
    </fill>
    <fill>
      <patternFill patternType="solid">
        <fgColor rgb="FFCFE9D4"/>
        <bgColor indexed="64"/>
      </patternFill>
    </fill>
    <fill>
      <patternFill patternType="solid">
        <fgColor rgb="FFFFC8C8"/>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rgb="FFFF0000"/>
      </left>
      <right style="medium">
        <color rgb="FFFF0000"/>
      </right>
      <top style="thin">
        <color indexed="64"/>
      </top>
      <bottom style="thin">
        <color indexed="64"/>
      </bottom>
      <diagonal/>
    </border>
    <border>
      <left style="thick">
        <color rgb="FF92D050"/>
      </left>
      <right/>
      <top style="thick">
        <color rgb="FF92D050"/>
      </top>
      <bottom style="thick">
        <color rgb="FF92D050"/>
      </bottom>
      <diagonal/>
    </border>
    <border>
      <left/>
      <right/>
      <top style="thick">
        <color rgb="FF92D050"/>
      </top>
      <bottom style="thick">
        <color rgb="FF92D050"/>
      </bottom>
      <diagonal/>
    </border>
    <border>
      <left/>
      <right style="thick">
        <color rgb="FF92D050"/>
      </right>
      <top style="thick">
        <color rgb="FF92D050"/>
      </top>
      <bottom style="thick">
        <color rgb="FF92D050"/>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top/>
      <bottom style="thin">
        <color indexed="64"/>
      </bottom>
      <diagonal/>
    </border>
    <border>
      <left/>
      <right/>
      <top/>
      <bottom style="medium">
        <color indexed="64"/>
      </bottom>
      <diagonal/>
    </border>
    <border>
      <left/>
      <right style="medium">
        <color rgb="FF00B050"/>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thin">
        <color indexed="64"/>
      </bottom>
      <diagonal/>
    </border>
    <border>
      <left/>
      <right style="thick">
        <color rgb="FF00B0F0"/>
      </right>
      <top style="thick">
        <color rgb="FF00B0F0"/>
      </top>
      <bottom style="thick">
        <color rgb="FF00B0F0"/>
      </bottom>
      <diagonal/>
    </border>
    <border>
      <left/>
      <right/>
      <top style="thick">
        <color rgb="FF00B0F0"/>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style="medium">
        <color indexed="64"/>
      </left>
      <right/>
      <top/>
      <bottom/>
      <diagonal/>
    </border>
    <border>
      <left/>
      <right style="thin">
        <color indexed="64"/>
      </right>
      <top style="medium">
        <color indexed="64"/>
      </top>
      <bottom style="medium">
        <color indexed="64"/>
      </bottom>
      <diagonal/>
    </border>
    <border>
      <left style="dashed">
        <color indexed="64"/>
      </left>
      <right/>
      <top/>
      <bottom/>
      <diagonal/>
    </border>
    <border>
      <left/>
      <right style="dashed">
        <color indexed="64"/>
      </right>
      <top/>
      <bottom/>
      <diagonal/>
    </border>
    <border>
      <left/>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top style="dashed">
        <color indexed="64"/>
      </top>
      <bottom/>
      <diagonal/>
    </border>
    <border>
      <left/>
      <right style="dashed">
        <color indexed="64"/>
      </right>
      <top style="dashed">
        <color indexed="64"/>
      </top>
      <bottom/>
      <diagonal/>
    </border>
    <border>
      <left style="thin">
        <color indexed="64"/>
      </left>
      <right style="thin">
        <color indexed="64"/>
      </right>
      <top/>
      <bottom/>
      <diagonal/>
    </border>
    <border>
      <left/>
      <right style="dashed">
        <color indexed="64"/>
      </right>
      <top style="thin">
        <color indexed="64"/>
      </top>
      <bottom/>
      <diagonal/>
    </border>
    <border>
      <left style="thin">
        <color indexed="64"/>
      </left>
      <right/>
      <top style="dashed">
        <color indexed="64"/>
      </top>
      <bottom style="thin">
        <color indexed="64"/>
      </bottom>
      <diagonal/>
    </border>
    <border>
      <left/>
      <right/>
      <top style="dashed">
        <color indexed="64"/>
      </top>
      <bottom style="thin">
        <color indexed="64"/>
      </bottom>
      <diagonal/>
    </border>
    <border>
      <left/>
      <right style="dashed">
        <color indexed="64"/>
      </right>
      <top style="dashed">
        <color indexed="64"/>
      </top>
      <bottom style="thin">
        <color indexed="64"/>
      </bottom>
      <diagonal/>
    </border>
    <border>
      <left style="thin">
        <color indexed="64"/>
      </left>
      <right/>
      <top/>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indexed="64"/>
      </left>
      <right/>
      <top/>
      <bottom style="medium">
        <color indexed="64"/>
      </bottom>
      <diagonal/>
    </border>
    <border>
      <left/>
      <right style="thin">
        <color indexed="64"/>
      </right>
      <top/>
      <bottom style="medium">
        <color indexed="64"/>
      </bottom>
      <diagonal/>
    </border>
    <border>
      <left/>
      <right/>
      <top style="medium">
        <color indexed="64"/>
      </top>
      <bottom/>
      <diagonal/>
    </border>
    <border>
      <left/>
      <right style="thin">
        <color indexed="64"/>
      </right>
      <top/>
      <bottom/>
      <diagonal/>
    </border>
    <border>
      <left style="thin">
        <color indexed="64"/>
      </left>
      <right style="thin">
        <color indexed="64"/>
      </right>
      <top style="dashed">
        <color indexed="64"/>
      </top>
      <bottom style="dashed">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rgb="FFCCFFCC"/>
      </left>
      <right/>
      <top style="medium">
        <color rgb="FFCCFFCC"/>
      </top>
      <bottom style="medium">
        <color rgb="FFCCFFCC"/>
      </bottom>
      <diagonal/>
    </border>
    <border>
      <left/>
      <right/>
      <top style="medium">
        <color rgb="FFCCFFCC"/>
      </top>
      <bottom style="medium">
        <color rgb="FFCCFFCC"/>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7" tint="0.79998168889431442"/>
      </left>
      <right style="thin">
        <color theme="7" tint="0.79998168889431442"/>
      </right>
      <top style="thin">
        <color theme="7" tint="0.79998168889431442"/>
      </top>
      <bottom style="thin">
        <color theme="7" tint="0.79998168889431442"/>
      </bottom>
      <diagonal/>
    </border>
    <border>
      <left style="thin">
        <color theme="4" tint="0.79998168889431442"/>
      </left>
      <right/>
      <top style="thin">
        <color theme="4" tint="0.79998168889431442"/>
      </top>
      <bottom style="thin">
        <color theme="4" tint="0.79998168889431442"/>
      </bottom>
      <diagonal/>
    </border>
    <border>
      <left style="thin">
        <color indexed="64"/>
      </left>
      <right/>
      <top style="medium">
        <color indexed="64"/>
      </top>
      <bottom style="medium">
        <color indexed="64"/>
      </bottom>
      <diagonal/>
    </border>
    <border>
      <left/>
      <right style="thick">
        <color rgb="FFFF0000"/>
      </right>
      <top style="thick">
        <color rgb="FFFF0000"/>
      </top>
      <bottom style="thick">
        <color rgb="FFFF0000"/>
      </bottom>
      <diagonal/>
    </border>
    <border>
      <left style="mediumDashed">
        <color rgb="FFFF0000"/>
      </left>
      <right style="mediumDashed">
        <color rgb="FFFF0000"/>
      </right>
      <top style="mediumDashed">
        <color rgb="FFFF0000"/>
      </top>
      <bottom style="mediumDashed">
        <color rgb="FFFF0000"/>
      </bottom>
      <diagonal/>
    </border>
  </borders>
  <cellStyleXfs count="6">
    <xf numFmtId="0" fontId="0" fillId="0" borderId="0"/>
    <xf numFmtId="0" fontId="12" fillId="12" borderId="0" applyNumberFormat="0" applyBorder="0" applyAlignment="0" applyProtection="0"/>
    <xf numFmtId="0" fontId="13" fillId="0" borderId="0" applyNumberFormat="0" applyFill="0" applyBorder="0" applyAlignment="0" applyProtection="0"/>
    <xf numFmtId="0" fontId="15" fillId="13" borderId="0" applyNumberFormat="0" applyBorder="0" applyAlignment="0" applyProtection="0"/>
    <xf numFmtId="0" fontId="16" fillId="14" borderId="0" applyNumberFormat="0" applyBorder="0" applyAlignment="0" applyProtection="0"/>
    <xf numFmtId="165" fontId="18" fillId="0" borderId="0" applyBorder="0" applyProtection="0"/>
  </cellStyleXfs>
  <cellXfs count="331">
    <xf numFmtId="0" fontId="0" fillId="0" borderId="0" xfId="0"/>
    <xf numFmtId="0" fontId="0" fillId="0" borderId="0" xfId="0" applyAlignment="1">
      <alignment horizontal="center" vertical="center"/>
    </xf>
    <xf numFmtId="0" fontId="0" fillId="0" borderId="17" xfId="0" applyBorder="1"/>
    <xf numFmtId="0" fontId="0" fillId="9" borderId="0" xfId="0" applyFill="1"/>
    <xf numFmtId="0" fontId="1" fillId="0" borderId="16" xfId="0" applyFont="1"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0" fillId="0" borderId="37" xfId="0" applyBorder="1" applyAlignment="1">
      <alignment horizontal="center" vertical="center"/>
    </xf>
    <xf numFmtId="0" fontId="0" fillId="0" borderId="21"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7" fillId="0" borderId="0" xfId="0" applyFont="1" applyAlignment="1">
      <alignment horizontal="center" vertical="center"/>
    </xf>
    <xf numFmtId="0" fontId="0" fillId="0" borderId="17" xfId="0" applyBorder="1" applyAlignment="1">
      <alignment horizontal="center" vertical="center"/>
    </xf>
    <xf numFmtId="3" fontId="0" fillId="0" borderId="17" xfId="0" applyNumberFormat="1" applyBorder="1" applyAlignment="1">
      <alignment horizontal="center" vertical="center"/>
    </xf>
    <xf numFmtId="3" fontId="0" fillId="0" borderId="38" xfId="0" applyNumberFormat="1" applyBorder="1" applyAlignment="1">
      <alignment horizontal="center" vertical="center"/>
    </xf>
    <xf numFmtId="3" fontId="0" fillId="0" borderId="36" xfId="0" applyNumberFormat="1" applyBorder="1" applyAlignment="1">
      <alignment horizontal="center" vertical="center"/>
    </xf>
    <xf numFmtId="3" fontId="0" fillId="0" borderId="7" xfId="0" applyNumberFormat="1" applyBorder="1" applyAlignment="1">
      <alignment horizontal="center" vertical="center"/>
    </xf>
    <xf numFmtId="3" fontId="0" fillId="0" borderId="0" xfId="0" applyNumberFormat="1" applyAlignment="1">
      <alignment horizontal="center" vertical="center"/>
    </xf>
    <xf numFmtId="0" fontId="17" fillId="3" borderId="5" xfId="1" applyFont="1" applyFill="1" applyBorder="1" applyAlignment="1">
      <alignment horizontal="center" vertical="center"/>
    </xf>
    <xf numFmtId="0" fontId="17" fillId="3" borderId="5" xfId="3" applyFont="1" applyFill="1" applyBorder="1" applyAlignment="1">
      <alignment horizontal="center" vertical="center"/>
    </xf>
    <xf numFmtId="0" fontId="17" fillId="3" borderId="5" xfId="4" applyFont="1" applyFill="1" applyBorder="1" applyAlignment="1">
      <alignment horizontal="center" vertical="center"/>
    </xf>
    <xf numFmtId="0" fontId="17" fillId="3" borderId="37" xfId="4" applyFont="1" applyFill="1" applyBorder="1" applyAlignment="1">
      <alignment horizontal="center" vertical="center"/>
    </xf>
    <xf numFmtId="0" fontId="17" fillId="3" borderId="6" xfId="3" applyFont="1" applyFill="1" applyBorder="1" applyAlignment="1">
      <alignment horizontal="center" vertical="center"/>
    </xf>
    <xf numFmtId="0" fontId="0" fillId="0" borderId="61" xfId="0" applyBorder="1" applyAlignment="1">
      <alignment horizontal="center" vertical="center"/>
    </xf>
    <xf numFmtId="0" fontId="0" fillId="0" borderId="62" xfId="0" applyBorder="1" applyAlignment="1">
      <alignment horizontal="center" vertical="center"/>
    </xf>
    <xf numFmtId="0" fontId="0" fillId="0" borderId="2" xfId="0" applyBorder="1" applyAlignment="1">
      <alignment horizontal="center" vertical="center"/>
    </xf>
    <xf numFmtId="165" fontId="19" fillId="0" borderId="5" xfId="5" applyFont="1" applyBorder="1" applyAlignment="1">
      <alignment horizontal="center"/>
    </xf>
    <xf numFmtId="3" fontId="19" fillId="0" borderId="36" xfId="5" applyNumberFormat="1" applyFont="1" applyBorder="1" applyAlignment="1">
      <alignment horizontal="center"/>
    </xf>
    <xf numFmtId="165" fontId="19" fillId="0" borderId="37" xfId="5" applyFont="1" applyBorder="1" applyAlignment="1">
      <alignment horizontal="center"/>
    </xf>
    <xf numFmtId="3" fontId="19" fillId="0" borderId="38" xfId="5" applyNumberFormat="1" applyFont="1" applyBorder="1" applyAlignment="1">
      <alignment horizontal="center"/>
    </xf>
    <xf numFmtId="165" fontId="17" fillId="0" borderId="5" xfId="5" applyFont="1" applyBorder="1" applyAlignment="1">
      <alignment horizontal="center"/>
    </xf>
    <xf numFmtId="0" fontId="20" fillId="0" borderId="0" xfId="0" applyFont="1" applyAlignment="1">
      <alignment horizontal="center" vertical="center"/>
    </xf>
    <xf numFmtId="0" fontId="9" fillId="0" borderId="17" xfId="0" applyFont="1" applyBorder="1"/>
    <xf numFmtId="0" fontId="9" fillId="0" borderId="0" xfId="0" applyFont="1"/>
    <xf numFmtId="3" fontId="7" fillId="0" borderId="0" xfId="0" applyNumberFormat="1" applyFont="1" applyAlignment="1">
      <alignment horizontal="center" vertical="center"/>
    </xf>
    <xf numFmtId="0" fontId="0" fillId="0" borderId="65" xfId="0" applyBorder="1"/>
    <xf numFmtId="0" fontId="0" fillId="0" borderId="58" xfId="0" applyBorder="1"/>
    <xf numFmtId="0" fontId="0" fillId="0" borderId="58" xfId="0" applyBorder="1" applyAlignment="1">
      <alignment horizontal="center" vertical="center"/>
    </xf>
    <xf numFmtId="3" fontId="0" fillId="0" borderId="58" xfId="0" applyNumberFormat="1" applyBorder="1" applyAlignment="1">
      <alignment horizontal="center" vertical="center"/>
    </xf>
    <xf numFmtId="0" fontId="9" fillId="0" borderId="58" xfId="0" applyFont="1" applyBorder="1"/>
    <xf numFmtId="0" fontId="0" fillId="0" borderId="66" xfId="0" applyBorder="1"/>
    <xf numFmtId="0" fontId="0" fillId="0" borderId="30" xfId="0" applyBorder="1"/>
    <xf numFmtId="0" fontId="0" fillId="0" borderId="67" xfId="0" applyBorder="1"/>
    <xf numFmtId="0" fontId="0" fillId="0" borderId="68" xfId="0" applyBorder="1"/>
    <xf numFmtId="0" fontId="7" fillId="0" borderId="17" xfId="0" applyFont="1" applyBorder="1" applyAlignment="1">
      <alignment horizontal="center" vertical="center"/>
    </xf>
    <xf numFmtId="3" fontId="7" fillId="0" borderId="17" xfId="0" applyNumberFormat="1" applyFont="1" applyBorder="1" applyAlignment="1">
      <alignment horizontal="center" vertical="center"/>
    </xf>
    <xf numFmtId="0" fontId="20" fillId="0" borderId="17" xfId="0" applyFont="1" applyBorder="1" applyAlignment="1">
      <alignment horizontal="center" vertical="center"/>
    </xf>
    <xf numFmtId="0" fontId="0" fillId="0" borderId="69" xfId="0" applyBorder="1"/>
    <xf numFmtId="0" fontId="8" fillId="4" borderId="71" xfId="0" applyFont="1" applyFill="1" applyBorder="1" applyAlignment="1">
      <alignment horizontal="center" vertical="center"/>
    </xf>
    <xf numFmtId="3" fontId="8" fillId="6" borderId="70" xfId="0" applyNumberFormat="1" applyFont="1" applyFill="1" applyBorder="1" applyAlignment="1">
      <alignment horizontal="center" vertical="center"/>
    </xf>
    <xf numFmtId="0" fontId="9" fillId="0" borderId="1" xfId="0" applyFont="1" applyBorder="1" applyAlignment="1">
      <alignment horizontal="center" vertical="center"/>
    </xf>
    <xf numFmtId="0" fontId="9" fillId="0" borderId="19" xfId="0" applyFont="1" applyBorder="1" applyAlignment="1">
      <alignment horizontal="center" vertical="center"/>
    </xf>
    <xf numFmtId="0" fontId="9" fillId="0" borderId="9" xfId="0" applyFont="1" applyBorder="1" applyAlignment="1">
      <alignment horizontal="center" vertical="center"/>
    </xf>
    <xf numFmtId="0" fontId="17" fillId="3" borderId="37" xfId="1" applyFont="1" applyFill="1" applyBorder="1" applyAlignment="1">
      <alignment horizontal="center" vertical="center"/>
    </xf>
    <xf numFmtId="0" fontId="1" fillId="0" borderId="8" xfId="0" quotePrefix="1" applyFont="1" applyBorder="1" applyAlignment="1">
      <alignment horizontal="center" vertical="center"/>
    </xf>
    <xf numFmtId="0" fontId="22" fillId="0" borderId="22" xfId="0" applyFont="1" applyBorder="1" applyAlignment="1">
      <alignment horizontal="center" vertical="center"/>
    </xf>
    <xf numFmtId="0" fontId="23" fillId="4" borderId="23" xfId="0" applyFont="1" applyFill="1" applyBorder="1" applyAlignment="1">
      <alignment horizontal="center" vertical="center"/>
    </xf>
    <xf numFmtId="0" fontId="23" fillId="6" borderId="23" xfId="0" applyFont="1" applyFill="1" applyBorder="1" applyAlignment="1">
      <alignment horizontal="center" vertical="center"/>
    </xf>
    <xf numFmtId="0" fontId="23" fillId="2" borderId="72" xfId="0" applyFont="1" applyFill="1" applyBorder="1" applyAlignment="1">
      <alignment horizontal="center" vertical="center"/>
    </xf>
    <xf numFmtId="0" fontId="22" fillId="0" borderId="23" xfId="0" applyFont="1" applyBorder="1" applyAlignment="1">
      <alignment horizontal="center" vertical="center"/>
    </xf>
    <xf numFmtId="0" fontId="23" fillId="7" borderId="23" xfId="0" applyFont="1" applyFill="1" applyBorder="1" applyAlignment="1">
      <alignment horizontal="center" vertical="center"/>
    </xf>
    <xf numFmtId="49" fontId="23" fillId="0" borderId="31" xfId="0" applyNumberFormat="1" applyFont="1" applyBorder="1" applyAlignment="1">
      <alignment horizontal="right" vertical="center"/>
    </xf>
    <xf numFmtId="0" fontId="26" fillId="0" borderId="0" xfId="0" applyFont="1"/>
    <xf numFmtId="0" fontId="23" fillId="3" borderId="20" xfId="0" applyFont="1" applyFill="1" applyBorder="1" applyAlignment="1">
      <alignment horizontal="center" vertical="center"/>
    </xf>
    <xf numFmtId="0" fontId="23" fillId="3" borderId="35" xfId="0" applyFont="1" applyFill="1" applyBorder="1" applyAlignment="1">
      <alignment horizontal="center" vertical="center"/>
    </xf>
    <xf numFmtId="0" fontId="23" fillId="38" borderId="5" xfId="0" applyFont="1" applyFill="1" applyBorder="1" applyAlignment="1">
      <alignment horizontal="center" vertical="center"/>
    </xf>
    <xf numFmtId="0" fontId="23" fillId="38" borderId="1" xfId="0" applyFont="1" applyFill="1" applyBorder="1" applyAlignment="1">
      <alignment horizontal="center" vertical="center"/>
    </xf>
    <xf numFmtId="0" fontId="23" fillId="38" borderId="36" xfId="0" applyFont="1" applyFill="1" applyBorder="1" applyAlignment="1">
      <alignment horizontal="center" vertical="center"/>
    </xf>
    <xf numFmtId="0" fontId="23" fillId="3" borderId="5" xfId="0" applyFont="1" applyFill="1" applyBorder="1" applyAlignment="1">
      <alignment horizontal="center" vertical="center"/>
    </xf>
    <xf numFmtId="0" fontId="23" fillId="3" borderId="1" xfId="0" applyFont="1" applyFill="1" applyBorder="1" applyAlignment="1">
      <alignment horizontal="center" vertical="center"/>
    </xf>
    <xf numFmtId="0" fontId="23" fillId="3" borderId="36" xfId="0" applyFont="1" applyFill="1" applyBorder="1" applyAlignment="1">
      <alignment horizontal="center" vertical="center"/>
    </xf>
    <xf numFmtId="0" fontId="26" fillId="0" borderId="12" xfId="0" applyFont="1" applyBorder="1" applyAlignment="1">
      <alignment horizontal="center" vertical="center"/>
    </xf>
    <xf numFmtId="0" fontId="22" fillId="0" borderId="13" xfId="0" applyFont="1" applyBorder="1" applyAlignment="1">
      <alignment horizontal="center" vertical="center"/>
    </xf>
    <xf numFmtId="0" fontId="34" fillId="3" borderId="2" xfId="0" applyFont="1" applyFill="1" applyBorder="1" applyAlignment="1">
      <alignment vertical="center"/>
    </xf>
    <xf numFmtId="0" fontId="32" fillId="25" borderId="1" xfId="0" applyFont="1" applyFill="1" applyBorder="1" applyAlignment="1">
      <alignment horizontal="center" vertical="center"/>
    </xf>
    <xf numFmtId="0" fontId="26" fillId="0" borderId="0" xfId="0" applyFont="1" applyAlignment="1">
      <alignment vertical="center"/>
    </xf>
    <xf numFmtId="0" fontId="26" fillId="0" borderId="27" xfId="0" applyFont="1" applyBorder="1"/>
    <xf numFmtId="0" fontId="22" fillId="0" borderId="26" xfId="0" applyFont="1" applyBorder="1" applyAlignment="1">
      <alignment horizontal="center" vertical="center"/>
    </xf>
    <xf numFmtId="0" fontId="22" fillId="3" borderId="8" xfId="0" applyFont="1" applyFill="1" applyBorder="1" applyAlignment="1">
      <alignment vertical="center"/>
    </xf>
    <xf numFmtId="0" fontId="22" fillId="27" borderId="2" xfId="0" applyFont="1" applyFill="1" applyBorder="1" applyAlignment="1">
      <alignment horizontal="center" vertical="center"/>
    </xf>
    <xf numFmtId="0" fontId="28" fillId="0" borderId="27" xfId="0" applyFont="1" applyBorder="1" applyAlignment="1">
      <alignment vertical="center"/>
    </xf>
    <xf numFmtId="0" fontId="26" fillId="0" borderId="0" xfId="0" applyFont="1" applyAlignment="1">
      <alignment horizontal="center" vertical="center"/>
    </xf>
    <xf numFmtId="0" fontId="22" fillId="28" borderId="2" xfId="0" applyFont="1" applyFill="1" applyBorder="1" applyAlignment="1">
      <alignment horizontal="center" vertical="center"/>
    </xf>
    <xf numFmtId="0" fontId="26" fillId="0" borderId="8" xfId="0" applyFont="1" applyBorder="1"/>
    <xf numFmtId="0" fontId="22" fillId="20" borderId="2" xfId="0" applyFont="1" applyFill="1" applyBorder="1" applyAlignment="1">
      <alignment horizontal="center" vertical="center"/>
    </xf>
    <xf numFmtId="0" fontId="25" fillId="3" borderId="8" xfId="0" applyFont="1" applyFill="1" applyBorder="1" applyAlignment="1">
      <alignment vertical="center"/>
    </xf>
    <xf numFmtId="0" fontId="25" fillId="29" borderId="2" xfId="0" applyFont="1" applyFill="1" applyBorder="1" applyAlignment="1">
      <alignment horizontal="center" vertical="center"/>
    </xf>
    <xf numFmtId="0" fontId="28" fillId="0" borderId="0" xfId="0" applyFont="1" applyAlignment="1">
      <alignment vertical="center"/>
    </xf>
    <xf numFmtId="0" fontId="22" fillId="19" borderId="2" xfId="0" applyFont="1" applyFill="1" applyBorder="1" applyAlignment="1">
      <alignment horizontal="center" vertical="center"/>
    </xf>
    <xf numFmtId="0" fontId="34" fillId="3" borderId="8" xfId="0" applyFont="1" applyFill="1" applyBorder="1" applyAlignment="1">
      <alignment vertical="center"/>
    </xf>
    <xf numFmtId="0" fontId="34" fillId="30" borderId="2" xfId="0" applyFont="1" applyFill="1" applyBorder="1" applyAlignment="1">
      <alignment horizontal="center" vertical="center"/>
    </xf>
    <xf numFmtId="0" fontId="22" fillId="18" borderId="2" xfId="0" applyFont="1" applyFill="1" applyBorder="1" applyAlignment="1">
      <alignment horizontal="center" vertical="center"/>
    </xf>
    <xf numFmtId="0" fontId="22" fillId="31" borderId="2" xfId="0" applyFont="1" applyFill="1" applyBorder="1" applyAlignment="1">
      <alignment horizontal="center" vertical="center"/>
    </xf>
    <xf numFmtId="0" fontId="22" fillId="21" borderId="2" xfId="0" applyFont="1" applyFill="1" applyBorder="1" applyAlignment="1">
      <alignment horizontal="center" vertical="center"/>
    </xf>
    <xf numFmtId="0" fontId="22" fillId="32" borderId="2" xfId="0" applyFont="1" applyFill="1" applyBorder="1" applyAlignment="1">
      <alignment horizontal="center" vertical="center"/>
    </xf>
    <xf numFmtId="0" fontId="22" fillId="17" borderId="2" xfId="0" applyFont="1" applyFill="1" applyBorder="1" applyAlignment="1">
      <alignment horizontal="center" vertical="center"/>
    </xf>
    <xf numFmtId="0" fontId="34" fillId="33" borderId="2" xfId="0" applyFont="1" applyFill="1" applyBorder="1" applyAlignment="1">
      <alignment horizontal="center" vertical="center"/>
    </xf>
    <xf numFmtId="0" fontId="22" fillId="0" borderId="8" xfId="0" applyFont="1" applyBorder="1" applyAlignment="1">
      <alignment horizontal="center" vertical="center"/>
    </xf>
    <xf numFmtId="0" fontId="22" fillId="22" borderId="2" xfId="0" applyFont="1" applyFill="1" applyBorder="1" applyAlignment="1">
      <alignment horizontal="center" vertical="center"/>
    </xf>
    <xf numFmtId="0" fontId="22" fillId="34" borderId="2" xfId="0" applyFont="1" applyFill="1" applyBorder="1" applyAlignment="1">
      <alignment horizontal="center" vertical="center"/>
    </xf>
    <xf numFmtId="0" fontId="26" fillId="0" borderId="8" xfId="0" applyFont="1" applyBorder="1" applyAlignment="1">
      <alignment horizontal="center" vertical="center"/>
    </xf>
    <xf numFmtId="0" fontId="22" fillId="16" borderId="2" xfId="0" applyFont="1" applyFill="1" applyBorder="1" applyAlignment="1">
      <alignment horizontal="center" vertical="center"/>
    </xf>
    <xf numFmtId="0" fontId="34" fillId="35" borderId="2" xfId="0" applyFont="1" applyFill="1" applyBorder="1" applyAlignment="1">
      <alignment horizontal="center" vertical="center"/>
    </xf>
    <xf numFmtId="0" fontId="22" fillId="23" borderId="2" xfId="0" applyFont="1" applyFill="1" applyBorder="1" applyAlignment="1">
      <alignment horizontal="center" vertical="center"/>
    </xf>
    <xf numFmtId="0" fontId="34" fillId="36" borderId="2" xfId="0" applyFont="1" applyFill="1" applyBorder="1" applyAlignment="1">
      <alignment horizontal="center" vertical="center"/>
    </xf>
    <xf numFmtId="0" fontId="22" fillId="15" borderId="2" xfId="0" applyFont="1" applyFill="1" applyBorder="1" applyAlignment="1">
      <alignment horizontal="center" vertical="center"/>
    </xf>
    <xf numFmtId="0" fontId="35" fillId="3" borderId="8" xfId="0" applyFont="1" applyFill="1" applyBorder="1" applyAlignment="1">
      <alignment vertical="center"/>
    </xf>
    <xf numFmtId="0" fontId="35" fillId="37" borderId="2" xfId="0" applyFont="1" applyFill="1" applyBorder="1" applyAlignment="1">
      <alignment horizontal="center" vertical="center"/>
    </xf>
    <xf numFmtId="0" fontId="36" fillId="0" borderId="8" xfId="0" applyFont="1" applyBorder="1" applyAlignment="1">
      <alignment horizontal="center" vertical="center"/>
    </xf>
    <xf numFmtId="0" fontId="34" fillId="26" borderId="2" xfId="0" applyFont="1" applyFill="1" applyBorder="1" applyAlignment="1">
      <alignment horizontal="center" vertical="center"/>
    </xf>
    <xf numFmtId="0" fontId="26" fillId="0" borderId="54" xfId="0" applyFont="1" applyBorder="1"/>
    <xf numFmtId="0" fontId="36" fillId="0" borderId="55" xfId="0" applyFont="1" applyBorder="1" applyAlignment="1">
      <alignment horizontal="center" vertical="center"/>
    </xf>
    <xf numFmtId="0" fontId="22" fillId="24" borderId="2" xfId="0" applyFont="1" applyFill="1" applyBorder="1" applyAlignment="1">
      <alignment horizontal="center" vertical="center"/>
    </xf>
    <xf numFmtId="0" fontId="37" fillId="0" borderId="0" xfId="0" applyFont="1" applyAlignment="1">
      <alignment vertical="center"/>
    </xf>
    <xf numFmtId="0" fontId="39" fillId="0" borderId="44" xfId="0" applyFont="1" applyBorder="1" applyAlignment="1">
      <alignment horizontal="left" vertical="center"/>
    </xf>
    <xf numFmtId="0" fontId="40" fillId="3" borderId="34" xfId="0" applyFont="1" applyFill="1" applyBorder="1" applyAlignment="1">
      <alignment vertical="center"/>
    </xf>
    <xf numFmtId="0" fontId="22" fillId="4" borderId="1" xfId="0" applyFont="1" applyFill="1" applyBorder="1" applyAlignment="1">
      <alignment horizontal="center" vertical="center"/>
    </xf>
    <xf numFmtId="0" fontId="22" fillId="0" borderId="0" xfId="0" applyFont="1" applyAlignment="1">
      <alignment vertical="center"/>
    </xf>
    <xf numFmtId="0" fontId="22" fillId="3" borderId="42" xfId="0" applyFont="1" applyFill="1" applyBorder="1" applyAlignment="1">
      <alignment vertical="center"/>
    </xf>
    <xf numFmtId="0" fontId="39" fillId="0" borderId="47" xfId="0" applyFont="1" applyBorder="1" applyAlignment="1">
      <alignment horizontal="left" vertical="center"/>
    </xf>
    <xf numFmtId="0" fontId="40" fillId="3" borderId="0" xfId="0" applyFont="1" applyFill="1" applyAlignment="1">
      <alignment vertical="center"/>
    </xf>
    <xf numFmtId="0" fontId="23" fillId="0" borderId="0" xfId="0" applyFont="1" applyAlignment="1">
      <alignment horizontal="center" vertical="center"/>
    </xf>
    <xf numFmtId="0" fontId="39" fillId="0" borderId="60" xfId="0" applyFont="1" applyBorder="1" applyAlignment="1">
      <alignment horizontal="left" vertical="center"/>
    </xf>
    <xf numFmtId="0" fontId="22" fillId="3" borderId="59" xfId="0" applyFont="1" applyFill="1" applyBorder="1" applyAlignment="1">
      <alignment vertical="center"/>
    </xf>
    <xf numFmtId="0" fontId="22" fillId="3" borderId="2" xfId="0" applyFont="1" applyFill="1" applyBorder="1" applyAlignment="1">
      <alignment vertical="center"/>
    </xf>
    <xf numFmtId="0" fontId="22" fillId="0" borderId="32" xfId="0" applyFont="1" applyBorder="1" applyAlignment="1">
      <alignment vertical="center"/>
    </xf>
    <xf numFmtId="0" fontId="22" fillId="0" borderId="16" xfId="0" applyFont="1" applyBorder="1" applyAlignment="1">
      <alignment vertical="center"/>
    </xf>
    <xf numFmtId="0" fontId="23" fillId="3" borderId="37" xfId="0" applyFont="1" applyFill="1" applyBorder="1" applyAlignment="1">
      <alignment horizontal="center" vertical="center"/>
    </xf>
    <xf numFmtId="0" fontId="23" fillId="3" borderId="38" xfId="0" applyFont="1" applyFill="1" applyBorder="1" applyAlignment="1">
      <alignment horizontal="center" vertical="center"/>
    </xf>
    <xf numFmtId="0" fontId="23" fillId="38" borderId="37" xfId="0" applyFont="1" applyFill="1" applyBorder="1" applyAlignment="1">
      <alignment horizontal="center" vertical="center"/>
    </xf>
    <xf numFmtId="0" fontId="23" fillId="38" borderId="38" xfId="0" applyFont="1" applyFill="1" applyBorder="1" applyAlignment="1">
      <alignment horizontal="center" vertical="center"/>
    </xf>
    <xf numFmtId="0" fontId="1" fillId="3" borderId="23" xfId="0" applyFont="1" applyFill="1" applyBorder="1" applyAlignment="1">
      <alignment horizontal="center"/>
    </xf>
    <xf numFmtId="0" fontId="1" fillId="0" borderId="23" xfId="0" applyFont="1" applyBorder="1" applyAlignment="1">
      <alignment horizontal="center"/>
    </xf>
    <xf numFmtId="0" fontId="31" fillId="0" borderId="0" xfId="0" applyFont="1" applyAlignment="1">
      <alignment horizontal="center" vertical="center"/>
    </xf>
    <xf numFmtId="0" fontId="32" fillId="0" borderId="0" xfId="0" applyFont="1" applyAlignment="1">
      <alignment horizontal="center" vertical="center"/>
    </xf>
    <xf numFmtId="0" fontId="22" fillId="0" borderId="24" xfId="0" applyFont="1" applyBorder="1" applyAlignment="1">
      <alignment horizontal="center" vertical="center"/>
    </xf>
    <xf numFmtId="0" fontId="43" fillId="0" borderId="0" xfId="0" applyFont="1"/>
    <xf numFmtId="0" fontId="44" fillId="0" borderId="0" xfId="0" applyFont="1" applyAlignment="1">
      <alignment horizontal="center" vertical="center"/>
    </xf>
    <xf numFmtId="0" fontId="44" fillId="0" borderId="1" xfId="0" applyFont="1" applyBorder="1" applyAlignment="1">
      <alignment horizontal="center" vertical="center"/>
    </xf>
    <xf numFmtId="0" fontId="42" fillId="0" borderId="1" xfId="0" applyFont="1" applyBorder="1" applyAlignment="1">
      <alignment horizontal="center" vertical="center"/>
    </xf>
    <xf numFmtId="0" fontId="26" fillId="0" borderId="16" xfId="0" applyFont="1" applyBorder="1"/>
    <xf numFmtId="0" fontId="42" fillId="0" borderId="0" xfId="0" applyFont="1" applyAlignment="1">
      <alignment horizontal="center" vertical="center"/>
    </xf>
    <xf numFmtId="0" fontId="22" fillId="0" borderId="73" xfId="0" applyFont="1" applyBorder="1" applyAlignment="1">
      <alignment horizontal="center" vertical="center"/>
    </xf>
    <xf numFmtId="0" fontId="44" fillId="0" borderId="44" xfId="0" applyFont="1" applyBorder="1" applyAlignment="1">
      <alignment horizontal="center" vertical="center"/>
    </xf>
    <xf numFmtId="0" fontId="42" fillId="0" borderId="44" xfId="0" applyFont="1" applyBorder="1" applyAlignment="1">
      <alignment horizontal="center" vertical="center"/>
    </xf>
    <xf numFmtId="0" fontId="1" fillId="41" borderId="2" xfId="0" applyFont="1" applyFill="1" applyBorder="1" applyAlignment="1">
      <alignment horizontal="center" vertical="center"/>
    </xf>
    <xf numFmtId="0" fontId="1" fillId="42" borderId="2" xfId="0" applyFont="1" applyFill="1" applyBorder="1" applyAlignment="1">
      <alignment horizontal="center" vertical="center"/>
    </xf>
    <xf numFmtId="0" fontId="1" fillId="43" borderId="2" xfId="0" applyFont="1" applyFill="1" applyBorder="1" applyAlignment="1">
      <alignment horizontal="center" vertical="center"/>
    </xf>
    <xf numFmtId="0" fontId="1" fillId="44" borderId="2" xfId="0" applyFont="1" applyFill="1" applyBorder="1" applyAlignment="1">
      <alignment horizontal="center" vertical="center"/>
    </xf>
    <xf numFmtId="0" fontId="27" fillId="38" borderId="8" xfId="0" applyFont="1" applyFill="1" applyBorder="1" applyAlignment="1">
      <alignment vertical="center"/>
    </xf>
    <xf numFmtId="0" fontId="42" fillId="45" borderId="8" xfId="0" applyFont="1" applyFill="1" applyBorder="1" applyAlignment="1">
      <alignment vertical="center"/>
    </xf>
    <xf numFmtId="0" fontId="25" fillId="8" borderId="23" xfId="0" applyFont="1" applyFill="1" applyBorder="1" applyAlignment="1">
      <alignment horizontal="center" vertical="center"/>
    </xf>
    <xf numFmtId="0" fontId="25" fillId="12" borderId="23" xfId="1" applyFont="1" applyBorder="1" applyAlignment="1">
      <alignment horizontal="center" vertical="center"/>
    </xf>
    <xf numFmtId="0" fontId="22" fillId="5" borderId="23" xfId="0" applyFont="1" applyFill="1" applyBorder="1" applyAlignment="1">
      <alignment horizontal="center" vertical="center"/>
    </xf>
    <xf numFmtId="0" fontId="0" fillId="0" borderId="16" xfId="0" applyBorder="1" applyAlignment="1">
      <alignment horizontal="center" vertical="center"/>
    </xf>
    <xf numFmtId="14" fontId="0" fillId="0" borderId="16" xfId="0" applyNumberFormat="1" applyBorder="1" applyAlignment="1">
      <alignment horizontal="center" vertical="center"/>
    </xf>
    <xf numFmtId="0" fontId="39" fillId="0" borderId="16" xfId="0" applyFont="1" applyBorder="1"/>
    <xf numFmtId="0" fontId="0" fillId="0" borderId="16" xfId="0" applyBorder="1"/>
    <xf numFmtId="0" fontId="39" fillId="0" borderId="8" xfId="0" applyFont="1" applyBorder="1"/>
    <xf numFmtId="0" fontId="0" fillId="0" borderId="8" xfId="0" applyBorder="1"/>
    <xf numFmtId="0" fontId="0" fillId="0" borderId="8" xfId="0" applyBorder="1" applyAlignment="1">
      <alignment horizontal="center" vertical="center"/>
    </xf>
    <xf numFmtId="0" fontId="0" fillId="0" borderId="74" xfId="0" applyBorder="1" applyAlignment="1">
      <alignment horizontal="center" vertical="center"/>
    </xf>
    <xf numFmtId="0" fontId="0" fillId="3" borderId="0" xfId="0" applyFill="1"/>
    <xf numFmtId="0" fontId="39" fillId="0" borderId="19" xfId="0" applyFont="1" applyBorder="1" applyAlignment="1">
      <alignment horizontal="left" vertical="center"/>
    </xf>
    <xf numFmtId="0" fontId="40" fillId="3" borderId="16" xfId="0" applyFont="1" applyFill="1" applyBorder="1" applyAlignment="1">
      <alignment vertical="center"/>
    </xf>
    <xf numFmtId="0" fontId="22" fillId="47" borderId="1" xfId="0" applyFont="1" applyFill="1" applyBorder="1" applyAlignment="1">
      <alignment horizontal="center" vertical="center"/>
    </xf>
    <xf numFmtId="0" fontId="0" fillId="48" borderId="0" xfId="0" applyFill="1"/>
    <xf numFmtId="0" fontId="29" fillId="0" borderId="4" xfId="2" applyFont="1" applyFill="1" applyBorder="1" applyAlignment="1">
      <alignment horizontal="center" vertical="center"/>
    </xf>
    <xf numFmtId="0" fontId="29" fillId="0" borderId="3" xfId="2" applyFont="1" applyFill="1" applyBorder="1" applyAlignment="1">
      <alignment horizontal="center" vertical="center"/>
    </xf>
    <xf numFmtId="0" fontId="29" fillId="0" borderId="1" xfId="2" applyFont="1" applyFill="1" applyBorder="1" applyAlignment="1">
      <alignment horizontal="center" vertical="center"/>
    </xf>
    <xf numFmtId="0" fontId="35" fillId="11" borderId="23" xfId="0" applyFont="1" applyFill="1" applyBorder="1" applyAlignment="1">
      <alignment horizontal="center" vertical="center"/>
    </xf>
    <xf numFmtId="0" fontId="0" fillId="0" borderId="1"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26" fillId="0" borderId="19" xfId="0" applyFont="1"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23" fillId="0" borderId="19" xfId="0" applyFont="1" applyBorder="1" applyAlignment="1">
      <alignment horizontal="center" vertical="center"/>
    </xf>
    <xf numFmtId="0" fontId="27" fillId="0" borderId="1" xfId="0" applyFont="1" applyBorder="1" applyAlignment="1">
      <alignment horizontal="center" vertical="center" wrapText="1"/>
    </xf>
    <xf numFmtId="164" fontId="28" fillId="0" borderId="18" xfId="0" applyNumberFormat="1" applyFont="1" applyBorder="1" applyAlignment="1">
      <alignment horizontal="center" vertical="center"/>
    </xf>
    <xf numFmtId="164" fontId="28" fillId="0" borderId="8" xfId="0" applyNumberFormat="1" applyFont="1" applyBorder="1" applyAlignment="1">
      <alignment horizontal="center" vertical="center"/>
    </xf>
    <xf numFmtId="164" fontId="28" fillId="0" borderId="10" xfId="0" applyNumberFormat="1" applyFont="1" applyBorder="1" applyAlignment="1">
      <alignment horizontal="center" vertical="center"/>
    </xf>
    <xf numFmtId="0" fontId="45" fillId="0" borderId="3" xfId="0" applyFont="1" applyBorder="1" applyAlignment="1" applyProtection="1">
      <alignment horizontal="center" vertical="center" wrapText="1"/>
      <protection locked="0"/>
    </xf>
    <xf numFmtId="49" fontId="28" fillId="0" borderId="3" xfId="0" applyNumberFormat="1" applyFont="1" applyBorder="1" applyAlignment="1" applyProtection="1">
      <alignment horizontal="center" vertical="center" wrapText="1"/>
      <protection locked="0"/>
    </xf>
    <xf numFmtId="0" fontId="30" fillId="0" borderId="4" xfId="0" applyFont="1" applyBorder="1" applyAlignment="1" applyProtection="1">
      <alignment horizontal="center" vertical="center" wrapText="1"/>
      <protection locked="0"/>
    </xf>
    <xf numFmtId="0" fontId="23" fillId="0" borderId="1" xfId="0" applyFont="1" applyBorder="1" applyAlignment="1">
      <alignment horizontal="center" vertical="center"/>
    </xf>
    <xf numFmtId="0" fontId="27" fillId="0" borderId="1" xfId="0" applyFont="1" applyBorder="1" applyAlignment="1">
      <alignment horizontal="center" vertical="center"/>
    </xf>
    <xf numFmtId="22" fontId="27" fillId="0" borderId="1" xfId="0" applyNumberFormat="1" applyFont="1" applyBorder="1" applyAlignment="1">
      <alignment horizontal="center" vertical="center"/>
    </xf>
    <xf numFmtId="0" fontId="26" fillId="0" borderId="1" xfId="0" applyFont="1" applyBorder="1" applyAlignment="1" applyProtection="1">
      <alignment horizontal="center" vertical="center"/>
      <protection locked="0"/>
    </xf>
    <xf numFmtId="0" fontId="26" fillId="0" borderId="4" xfId="0" applyFont="1" applyBorder="1" applyAlignment="1" applyProtection="1">
      <alignment horizontal="center" vertical="center"/>
      <protection locked="0"/>
    </xf>
    <xf numFmtId="0" fontId="26" fillId="0" borderId="3" xfId="0" applyFont="1" applyBorder="1" applyAlignment="1" applyProtection="1">
      <alignment horizontal="center" vertical="center"/>
      <protection locked="0"/>
    </xf>
    <xf numFmtId="164" fontId="28" fillId="0" borderId="16" xfId="0" applyNumberFormat="1" applyFont="1" applyBorder="1" applyAlignment="1">
      <alignment horizontal="center" vertical="center"/>
    </xf>
    <xf numFmtId="0" fontId="30" fillId="0" borderId="3" xfId="0" applyFont="1" applyBorder="1" applyAlignment="1" applyProtection="1">
      <alignment horizontal="center" vertical="center" wrapText="1"/>
      <protection locked="0"/>
    </xf>
    <xf numFmtId="164" fontId="28" fillId="0" borderId="1" xfId="0" applyNumberFormat="1" applyFont="1" applyBorder="1" applyAlignment="1">
      <alignment horizontal="center" vertical="center"/>
    </xf>
    <xf numFmtId="49" fontId="28" fillId="0" borderId="1" xfId="0" applyNumberFormat="1" applyFont="1" applyBorder="1" applyAlignment="1" applyProtection="1">
      <alignment horizontal="center" vertical="center" wrapText="1"/>
      <protection locked="0"/>
    </xf>
    <xf numFmtId="0" fontId="30" fillId="0" borderId="1" xfId="0" applyFont="1" applyBorder="1" applyAlignment="1" applyProtection="1">
      <alignment horizontal="center" vertical="center" wrapText="1"/>
      <protection locked="0"/>
    </xf>
    <xf numFmtId="1" fontId="46" fillId="3" borderId="0" xfId="0" applyNumberFormat="1" applyFont="1" applyFill="1" applyAlignment="1">
      <alignment horizontal="center" vertical="center"/>
    </xf>
    <xf numFmtId="0" fontId="0" fillId="3" borderId="0" xfId="0" applyFill="1" applyAlignment="1">
      <alignment horizontal="center" vertical="center"/>
    </xf>
    <xf numFmtId="0" fontId="46" fillId="0" borderId="1" xfId="0" applyFont="1" applyBorder="1" applyAlignment="1" applyProtection="1">
      <alignment horizontal="center" vertical="center"/>
      <protection locked="0"/>
    </xf>
    <xf numFmtId="0" fontId="8" fillId="10" borderId="23" xfId="0" applyFont="1" applyFill="1" applyBorder="1" applyAlignment="1">
      <alignment horizontal="center" vertical="center"/>
    </xf>
    <xf numFmtId="0" fontId="47" fillId="3" borderId="0" xfId="0" applyFont="1" applyFill="1" applyAlignment="1">
      <alignment vertical="center"/>
    </xf>
    <xf numFmtId="0" fontId="0" fillId="3" borderId="0" xfId="0" applyFill="1" applyAlignment="1">
      <alignment vertical="center"/>
    </xf>
    <xf numFmtId="0" fontId="39" fillId="3" borderId="0" xfId="0" applyFont="1" applyFill="1"/>
    <xf numFmtId="0" fontId="22" fillId="3" borderId="43" xfId="0" applyFont="1" applyFill="1" applyBorder="1" applyAlignment="1">
      <alignment horizontal="center" vertical="center"/>
    </xf>
    <xf numFmtId="0" fontId="22" fillId="3" borderId="39" xfId="0" applyFont="1" applyFill="1" applyBorder="1" applyAlignment="1">
      <alignment horizontal="center" vertical="center"/>
    </xf>
    <xf numFmtId="0" fontId="22" fillId="3" borderId="40" xfId="0" applyFont="1" applyFill="1" applyBorder="1" applyAlignment="1">
      <alignment horizontal="center" vertical="center"/>
    </xf>
    <xf numFmtId="0" fontId="41" fillId="47" borderId="49" xfId="0" applyFont="1" applyFill="1" applyBorder="1" applyAlignment="1">
      <alignment horizontal="left" vertical="center"/>
    </xf>
    <xf numFmtId="0" fontId="41" fillId="47" borderId="51" xfId="0" applyFont="1" applyFill="1" applyBorder="1" applyAlignment="1">
      <alignment horizontal="left" vertical="center"/>
    </xf>
    <xf numFmtId="0" fontId="41" fillId="47" borderId="43" xfId="0" applyFont="1" applyFill="1" applyBorder="1" applyAlignment="1">
      <alignment horizontal="left" vertical="center"/>
    </xf>
    <xf numFmtId="0" fontId="41" fillId="47" borderId="40" xfId="0" applyFont="1" applyFill="1" applyBorder="1" applyAlignment="1">
      <alignment horizontal="left" vertical="center"/>
    </xf>
    <xf numFmtId="0" fontId="36" fillId="47" borderId="52" xfId="0" applyFont="1" applyFill="1" applyBorder="1" applyAlignment="1">
      <alignment horizontal="left" vertical="center"/>
    </xf>
    <xf numFmtId="0" fontId="36" fillId="47" borderId="33" xfId="0" applyFont="1" applyFill="1" applyBorder="1" applyAlignment="1">
      <alignment horizontal="left" vertical="center"/>
    </xf>
    <xf numFmtId="0" fontId="41" fillId="47" borderId="45" xfId="0" applyFont="1" applyFill="1" applyBorder="1" applyAlignment="1">
      <alignment horizontal="left" vertical="center"/>
    </xf>
    <xf numFmtId="0" fontId="41" fillId="47" borderId="46" xfId="0" applyFont="1" applyFill="1" applyBorder="1" applyAlignment="1">
      <alignment horizontal="left" vertical="center"/>
    </xf>
    <xf numFmtId="0" fontId="38" fillId="47" borderId="4" xfId="0" applyFont="1" applyFill="1" applyBorder="1" applyAlignment="1">
      <alignment horizontal="center" vertical="center"/>
    </xf>
    <xf numFmtId="0" fontId="38" fillId="47" borderId="8" xfId="0" applyFont="1" applyFill="1" applyBorder="1" applyAlignment="1">
      <alignment horizontal="center" vertical="center"/>
    </xf>
    <xf numFmtId="0" fontId="38" fillId="47" borderId="2" xfId="0" applyFont="1" applyFill="1" applyBorder="1" applyAlignment="1">
      <alignment horizontal="center" vertical="center"/>
    </xf>
    <xf numFmtId="0" fontId="41" fillId="47" borderId="41" xfId="0" applyFont="1" applyFill="1" applyBorder="1" applyAlignment="1">
      <alignment horizontal="left" vertical="center"/>
    </xf>
    <xf numFmtId="0" fontId="41" fillId="47" borderId="48" xfId="0" applyFont="1" applyFill="1" applyBorder="1" applyAlignment="1">
      <alignment horizontal="left" vertical="center"/>
    </xf>
    <xf numFmtId="0" fontId="1" fillId="3" borderId="43" xfId="0" applyFont="1" applyFill="1" applyBorder="1" applyAlignment="1">
      <alignment horizontal="center" vertical="center"/>
    </xf>
    <xf numFmtId="0" fontId="41" fillId="4" borderId="45" xfId="0" applyFont="1" applyFill="1" applyBorder="1" applyAlignment="1">
      <alignment horizontal="left" vertical="center"/>
    </xf>
    <xf numFmtId="0" fontId="41" fillId="4" borderId="46" xfId="0" applyFont="1" applyFill="1" applyBorder="1" applyAlignment="1">
      <alignment horizontal="left" vertical="center"/>
    </xf>
    <xf numFmtId="0" fontId="41" fillId="4" borderId="52" xfId="0" applyFont="1" applyFill="1" applyBorder="1" applyAlignment="1">
      <alignment horizontal="left" vertical="center"/>
    </xf>
    <xf numFmtId="0" fontId="41" fillId="4" borderId="33" xfId="0" applyFont="1" applyFill="1" applyBorder="1" applyAlignment="1">
      <alignment horizontal="left" vertical="center"/>
    </xf>
    <xf numFmtId="0" fontId="22" fillId="3" borderId="49" xfId="0" applyFont="1" applyFill="1" applyBorder="1" applyAlignment="1">
      <alignment horizontal="center" vertical="center"/>
    </xf>
    <xf numFmtId="0" fontId="22" fillId="3" borderId="50" xfId="0" applyFont="1" applyFill="1" applyBorder="1" applyAlignment="1">
      <alignment horizontal="center" vertical="center"/>
    </xf>
    <xf numFmtId="0" fontId="22" fillId="3" borderId="51" xfId="0" applyFont="1" applyFill="1" applyBorder="1" applyAlignment="1">
      <alignment horizontal="center" vertical="center"/>
    </xf>
    <xf numFmtId="0" fontId="41" fillId="4" borderId="41" xfId="0" applyFont="1" applyFill="1" applyBorder="1" applyAlignment="1">
      <alignment horizontal="left" vertical="center"/>
    </xf>
    <xf numFmtId="0" fontId="41" fillId="4" borderId="48" xfId="0" applyFont="1" applyFill="1" applyBorder="1" applyAlignment="1">
      <alignment horizontal="left" vertical="center"/>
    </xf>
    <xf numFmtId="0" fontId="41" fillId="4" borderId="43" xfId="0" applyFont="1" applyFill="1" applyBorder="1" applyAlignment="1">
      <alignment horizontal="left" vertical="center"/>
    </xf>
    <xf numFmtId="0" fontId="41" fillId="4" borderId="40" xfId="0" applyFont="1" applyFill="1" applyBorder="1" applyAlignment="1">
      <alignment horizontal="left" vertical="center"/>
    </xf>
    <xf numFmtId="0" fontId="36" fillId="4" borderId="52" xfId="0" applyFont="1" applyFill="1" applyBorder="1" applyAlignment="1">
      <alignment horizontal="left" vertical="center"/>
    </xf>
    <xf numFmtId="0" fontId="36" fillId="4" borderId="33" xfId="0" applyFont="1" applyFill="1" applyBorder="1" applyAlignment="1">
      <alignment horizontal="left" vertical="center"/>
    </xf>
    <xf numFmtId="0" fontId="22" fillId="32" borderId="4" xfId="0" applyFont="1" applyFill="1" applyBorder="1" applyAlignment="1">
      <alignment horizontal="center" vertical="center"/>
    </xf>
    <xf numFmtId="0" fontId="22" fillId="32" borderId="8" xfId="0" applyFont="1" applyFill="1" applyBorder="1" applyAlignment="1">
      <alignment horizontal="center" vertical="center"/>
    </xf>
    <xf numFmtId="0" fontId="22" fillId="31" borderId="4" xfId="0" applyFont="1" applyFill="1" applyBorder="1" applyAlignment="1">
      <alignment horizontal="center" vertical="center"/>
    </xf>
    <xf numFmtId="0" fontId="22" fillId="31" borderId="8" xfId="0" applyFont="1" applyFill="1" applyBorder="1" applyAlignment="1">
      <alignment horizontal="center" vertical="center"/>
    </xf>
    <xf numFmtId="0" fontId="34" fillId="30" borderId="4" xfId="0" applyFont="1" applyFill="1" applyBorder="1" applyAlignment="1">
      <alignment horizontal="center" vertical="center"/>
    </xf>
    <xf numFmtId="0" fontId="34" fillId="30" borderId="8" xfId="0" applyFont="1" applyFill="1" applyBorder="1" applyAlignment="1">
      <alignment horizontal="center" vertical="center"/>
    </xf>
    <xf numFmtId="0" fontId="22" fillId="34" borderId="4" xfId="0" applyFont="1" applyFill="1" applyBorder="1" applyAlignment="1">
      <alignment horizontal="center" vertical="center"/>
    </xf>
    <xf numFmtId="0" fontId="22" fillId="34" borderId="8" xfId="0" applyFont="1" applyFill="1" applyBorder="1" applyAlignment="1">
      <alignment horizontal="center" vertical="center"/>
    </xf>
    <xf numFmtId="0" fontId="34" fillId="35" borderId="4" xfId="0" applyFont="1" applyFill="1" applyBorder="1" applyAlignment="1">
      <alignment horizontal="center" vertical="center"/>
    </xf>
    <xf numFmtId="0" fontId="34" fillId="35" borderId="8" xfId="0" applyFont="1" applyFill="1" applyBorder="1" applyAlignment="1">
      <alignment horizontal="center" vertical="center"/>
    </xf>
    <xf numFmtId="0" fontId="34" fillId="36" borderId="4" xfId="0" applyFont="1" applyFill="1" applyBorder="1" applyAlignment="1">
      <alignment horizontal="center" vertical="center"/>
    </xf>
    <xf numFmtId="0" fontId="34" fillId="36" borderId="8" xfId="0" applyFont="1" applyFill="1" applyBorder="1" applyAlignment="1">
      <alignment horizontal="center" vertical="center"/>
    </xf>
    <xf numFmtId="0" fontId="35" fillId="37" borderId="4" xfId="0" applyFont="1" applyFill="1" applyBorder="1" applyAlignment="1">
      <alignment horizontal="center" vertical="center"/>
    </xf>
    <xf numFmtId="0" fontId="35" fillId="37" borderId="8" xfId="0" applyFont="1" applyFill="1" applyBorder="1" applyAlignment="1">
      <alignment horizontal="center" vertical="center"/>
    </xf>
    <xf numFmtId="0" fontId="38" fillId="4" borderId="4" xfId="0" applyFont="1" applyFill="1" applyBorder="1" applyAlignment="1">
      <alignment horizontal="center" vertical="center"/>
    </xf>
    <xf numFmtId="0" fontId="38" fillId="4" borderId="8" xfId="0" applyFont="1" applyFill="1" applyBorder="1" applyAlignment="1">
      <alignment horizontal="center" vertical="center"/>
    </xf>
    <xf numFmtId="0" fontId="38" fillId="4" borderId="2" xfId="0" applyFont="1" applyFill="1" applyBorder="1" applyAlignment="1">
      <alignment horizontal="center" vertical="center"/>
    </xf>
    <xf numFmtId="0" fontId="34" fillId="33" borderId="4" xfId="0" applyFont="1" applyFill="1" applyBorder="1" applyAlignment="1">
      <alignment horizontal="center" vertical="center"/>
    </xf>
    <xf numFmtId="0" fontId="34" fillId="33" borderId="8" xfId="0" applyFont="1" applyFill="1" applyBorder="1" applyAlignment="1">
      <alignment horizontal="center" vertical="center"/>
    </xf>
    <xf numFmtId="0" fontId="34" fillId="26" borderId="4" xfId="0" applyFont="1" applyFill="1" applyBorder="1" applyAlignment="1">
      <alignment horizontal="left" vertical="center"/>
    </xf>
    <xf numFmtId="0" fontId="34" fillId="26" borderId="8" xfId="0" applyFont="1" applyFill="1" applyBorder="1" applyAlignment="1">
      <alignment horizontal="left" vertical="center"/>
    </xf>
    <xf numFmtId="0" fontId="22" fillId="24" borderId="4" xfId="0" applyFont="1" applyFill="1" applyBorder="1" applyAlignment="1">
      <alignment horizontal="center" vertical="center"/>
    </xf>
    <xf numFmtId="0" fontId="22" fillId="24" borderId="8" xfId="0" applyFont="1" applyFill="1" applyBorder="1" applyAlignment="1">
      <alignment horizontal="center" vertical="center"/>
    </xf>
    <xf numFmtId="0" fontId="36" fillId="0" borderId="53" xfId="0" applyFont="1" applyBorder="1" applyAlignment="1">
      <alignment horizontal="center" vertical="center"/>
    </xf>
    <xf numFmtId="0" fontId="36" fillId="0" borderId="54" xfId="0" applyFont="1" applyBorder="1" applyAlignment="1">
      <alignment horizontal="center" vertical="center"/>
    </xf>
    <xf numFmtId="0" fontId="24" fillId="16" borderId="4" xfId="0" applyFont="1" applyFill="1" applyBorder="1" applyAlignment="1">
      <alignment horizontal="left" vertical="center"/>
    </xf>
    <xf numFmtId="0" fontId="24" fillId="16" borderId="8" xfId="0" applyFont="1" applyFill="1" applyBorder="1" applyAlignment="1">
      <alignment horizontal="left" vertical="center"/>
    </xf>
    <xf numFmtId="0" fontId="24" fillId="23" borderId="4" xfId="0" applyFont="1" applyFill="1" applyBorder="1" applyAlignment="1">
      <alignment horizontal="left" vertical="center"/>
    </xf>
    <xf numFmtId="0" fontId="24" fillId="23" borderId="8" xfId="0" applyFont="1" applyFill="1" applyBorder="1" applyAlignment="1">
      <alignment horizontal="left" vertical="center"/>
    </xf>
    <xf numFmtId="0" fontId="24" fillId="15" borderId="4" xfId="0" applyFont="1" applyFill="1" applyBorder="1" applyAlignment="1">
      <alignment horizontal="left" vertical="center"/>
    </xf>
    <xf numFmtId="0" fontId="24" fillId="15" borderId="8" xfId="0" applyFont="1" applyFill="1" applyBorder="1" applyAlignment="1">
      <alignment horizontal="left" vertical="center"/>
    </xf>
    <xf numFmtId="0" fontId="24" fillId="21" borderId="4" xfId="0" applyFont="1" applyFill="1" applyBorder="1" applyAlignment="1">
      <alignment horizontal="left" vertical="center"/>
    </xf>
    <xf numFmtId="0" fontId="24" fillId="21" borderId="8" xfId="0" applyFont="1" applyFill="1" applyBorder="1" applyAlignment="1">
      <alignment horizontal="left" vertical="center"/>
    </xf>
    <xf numFmtId="0" fontId="24" fillId="17" borderId="4" xfId="0" applyFont="1" applyFill="1" applyBorder="1" applyAlignment="1">
      <alignment horizontal="left" vertical="center"/>
    </xf>
    <xf numFmtId="0" fontId="24" fillId="17" borderId="8" xfId="0" applyFont="1" applyFill="1" applyBorder="1" applyAlignment="1">
      <alignment horizontal="left" vertical="center"/>
    </xf>
    <xf numFmtId="0" fontId="24" fillId="22" borderId="4" xfId="0" applyFont="1" applyFill="1" applyBorder="1" applyAlignment="1">
      <alignment horizontal="left" vertical="center"/>
    </xf>
    <xf numFmtId="0" fontId="24" fillId="22" borderId="8" xfId="0" applyFont="1" applyFill="1" applyBorder="1" applyAlignment="1">
      <alignment horizontal="left" vertical="center"/>
    </xf>
    <xf numFmtId="0" fontId="24" fillId="19" borderId="4" xfId="0" applyFont="1" applyFill="1" applyBorder="1" applyAlignment="1">
      <alignment horizontal="left" vertical="center"/>
    </xf>
    <xf numFmtId="0" fontId="24" fillId="19" borderId="8" xfId="0" applyFont="1" applyFill="1" applyBorder="1" applyAlignment="1">
      <alignment horizontal="left" vertical="center"/>
    </xf>
    <xf numFmtId="0" fontId="24" fillId="18" borderId="4" xfId="0" applyFont="1" applyFill="1" applyBorder="1" applyAlignment="1">
      <alignment horizontal="left" vertical="center"/>
    </xf>
    <xf numFmtId="0" fontId="24" fillId="18" borderId="8" xfId="0" applyFont="1" applyFill="1" applyBorder="1" applyAlignment="1">
      <alignment horizontal="left" vertical="center"/>
    </xf>
    <xf numFmtId="0" fontId="22" fillId="3" borderId="23" xfId="0" applyFont="1" applyFill="1" applyBorder="1" applyAlignment="1">
      <alignment horizontal="center" vertical="center"/>
    </xf>
    <xf numFmtId="14" fontId="8" fillId="0" borderId="23" xfId="0" applyNumberFormat="1" applyFont="1" applyBorder="1" applyAlignment="1">
      <alignment horizontal="center" vertical="center"/>
    </xf>
    <xf numFmtId="0" fontId="8" fillId="0" borderId="24" xfId="0" applyFont="1" applyBorder="1" applyAlignment="1">
      <alignment horizontal="center" vertical="center"/>
    </xf>
    <xf numFmtId="0" fontId="24" fillId="0" borderId="28" xfId="0" applyFont="1" applyBorder="1" applyAlignment="1">
      <alignment horizontal="left" vertical="center"/>
    </xf>
    <xf numFmtId="0" fontId="24" fillId="0" borderId="29" xfId="0" applyFont="1" applyBorder="1" applyAlignment="1">
      <alignment horizontal="left" vertical="center"/>
    </xf>
    <xf numFmtId="0" fontId="24" fillId="20" borderId="4" xfId="0" applyFont="1" applyFill="1" applyBorder="1" applyAlignment="1">
      <alignment horizontal="left" vertical="center"/>
    </xf>
    <xf numFmtId="0" fontId="24" fillId="20" borderId="8" xfId="0" applyFont="1" applyFill="1" applyBorder="1" applyAlignment="1">
      <alignment horizontal="left" vertical="center"/>
    </xf>
    <xf numFmtId="0" fontId="22" fillId="27" borderId="4" xfId="0" applyFont="1" applyFill="1" applyBorder="1" applyAlignment="1">
      <alignment horizontal="center" vertical="center"/>
    </xf>
    <xf numFmtId="0" fontId="22" fillId="27" borderId="8" xfId="0" applyFont="1" applyFill="1" applyBorder="1" applyAlignment="1">
      <alignment horizontal="center" vertical="center"/>
    </xf>
    <xf numFmtId="0" fontId="34" fillId="25" borderId="4" xfId="0" applyFont="1" applyFill="1" applyBorder="1" applyAlignment="1">
      <alignment horizontal="center" vertical="center"/>
    </xf>
    <xf numFmtId="0" fontId="34" fillId="25" borderId="8" xfId="0" applyFont="1" applyFill="1" applyBorder="1" applyAlignment="1">
      <alignment horizontal="center" vertical="center"/>
    </xf>
    <xf numFmtId="0" fontId="25" fillId="29" borderId="4" xfId="0" applyFont="1" applyFill="1" applyBorder="1" applyAlignment="1">
      <alignment horizontal="center" vertical="center"/>
    </xf>
    <xf numFmtId="0" fontId="25" fillId="29" borderId="8" xfId="0" applyFont="1" applyFill="1" applyBorder="1" applyAlignment="1">
      <alignment horizontal="center" vertical="center"/>
    </xf>
    <xf numFmtId="0" fontId="23" fillId="0" borderId="25" xfId="0" applyFont="1" applyBorder="1" applyAlignment="1">
      <alignment horizontal="center" vertical="center"/>
    </xf>
    <xf numFmtId="0" fontId="24" fillId="0" borderId="14" xfId="0" applyFont="1" applyBorder="1" applyAlignment="1">
      <alignment horizontal="left" vertical="center"/>
    </xf>
    <xf numFmtId="0" fontId="26" fillId="0" borderId="15" xfId="0" applyFont="1" applyBorder="1" applyAlignment="1">
      <alignment horizontal="left" vertical="center"/>
    </xf>
    <xf numFmtId="0" fontId="33" fillId="0" borderId="16" xfId="0" applyFont="1" applyBorder="1" applyAlignment="1">
      <alignment horizontal="center"/>
    </xf>
    <xf numFmtId="0" fontId="24" fillId="0" borderId="11" xfId="0" applyFont="1" applyBorder="1" applyAlignment="1">
      <alignment horizontal="left" vertical="center"/>
    </xf>
    <xf numFmtId="0" fontId="24" fillId="0" borderId="12" xfId="0" applyFont="1" applyBorder="1" applyAlignment="1">
      <alignment horizontal="left" vertical="center"/>
    </xf>
    <xf numFmtId="0" fontId="22" fillId="28" borderId="4" xfId="0" applyFont="1" applyFill="1" applyBorder="1" applyAlignment="1">
      <alignment horizontal="center" vertical="center"/>
    </xf>
    <xf numFmtId="0" fontId="22" fillId="28" borderId="8" xfId="0" applyFont="1" applyFill="1" applyBorder="1" applyAlignment="1">
      <alignment horizontal="center" vertical="center"/>
    </xf>
    <xf numFmtId="0" fontId="42" fillId="41" borderId="4" xfId="0" applyFont="1" applyFill="1" applyBorder="1" applyAlignment="1">
      <alignment horizontal="center" vertical="center"/>
    </xf>
    <xf numFmtId="0" fontId="42" fillId="41" borderId="8" xfId="0" applyFont="1" applyFill="1" applyBorder="1" applyAlignment="1">
      <alignment horizontal="center" vertical="center"/>
    </xf>
    <xf numFmtId="0" fontId="26" fillId="0" borderId="0" xfId="0" applyFont="1" applyAlignment="1">
      <alignment horizontal="center" vertical="center"/>
    </xf>
    <xf numFmtId="0" fontId="27" fillId="38" borderId="4" xfId="0" applyFont="1" applyFill="1" applyBorder="1" applyAlignment="1">
      <alignment horizontal="center" vertical="center"/>
    </xf>
    <xf numFmtId="0" fontId="27" fillId="38" borderId="8" xfId="0" applyFont="1" applyFill="1" applyBorder="1" applyAlignment="1">
      <alignment horizontal="center" vertical="center"/>
    </xf>
    <xf numFmtId="0" fontId="2" fillId="3" borderId="0" xfId="0" applyFont="1" applyFill="1" applyAlignment="1">
      <alignment horizontal="center" vertical="center"/>
    </xf>
    <xf numFmtId="0" fontId="34" fillId="3" borderId="0" xfId="0" applyFont="1" applyFill="1" applyAlignment="1">
      <alignment horizontal="center"/>
    </xf>
    <xf numFmtId="0" fontId="26" fillId="0" borderId="4" xfId="0" applyFont="1" applyBorder="1" applyAlignment="1">
      <alignment horizontal="center" vertical="center"/>
    </xf>
    <xf numFmtId="0" fontId="26" fillId="0" borderId="8" xfId="0" applyFont="1" applyBorder="1" applyAlignment="1">
      <alignment horizontal="center" vertical="center"/>
    </xf>
    <xf numFmtId="0" fontId="26" fillId="0" borderId="2" xfId="0" applyFont="1" applyBorder="1" applyAlignment="1">
      <alignment horizontal="center" vertical="center"/>
    </xf>
    <xf numFmtId="0" fontId="22" fillId="40" borderId="4" xfId="0" applyFont="1" applyFill="1" applyBorder="1" applyAlignment="1">
      <alignment horizontal="center" vertical="center"/>
    </xf>
    <xf numFmtId="0" fontId="22" fillId="40" borderId="8" xfId="0" applyFont="1" applyFill="1" applyBorder="1" applyAlignment="1">
      <alignment horizontal="center" vertical="center"/>
    </xf>
    <xf numFmtId="0" fontId="22" fillId="40" borderId="2" xfId="0" applyFont="1" applyFill="1" applyBorder="1" applyAlignment="1">
      <alignment horizontal="center" vertical="center"/>
    </xf>
    <xf numFmtId="0" fontId="22" fillId="0" borderId="4" xfId="0" applyFont="1" applyBorder="1" applyAlignment="1">
      <alignment horizontal="center" vertical="center"/>
    </xf>
    <xf numFmtId="0" fontId="22" fillId="0" borderId="8" xfId="0" applyFont="1" applyBorder="1" applyAlignment="1">
      <alignment horizontal="center" vertical="center"/>
    </xf>
    <xf numFmtId="0" fontId="22" fillId="0" borderId="2" xfId="0" applyFont="1" applyBorder="1" applyAlignment="1">
      <alignment horizontal="center" vertical="center"/>
    </xf>
    <xf numFmtId="0" fontId="34" fillId="39" borderId="16" xfId="0" applyFont="1" applyFill="1" applyBorder="1" applyAlignment="1">
      <alignment horizontal="center"/>
    </xf>
    <xf numFmtId="0" fontId="34" fillId="39" borderId="0" xfId="0" applyFont="1" applyFill="1" applyAlignment="1">
      <alignment horizontal="center"/>
    </xf>
    <xf numFmtId="0" fontId="2" fillId="46" borderId="0" xfId="0" applyFont="1" applyFill="1" applyAlignment="1">
      <alignment horizontal="center" vertical="center"/>
    </xf>
    <xf numFmtId="0" fontId="1" fillId="0" borderId="0" xfId="0" applyFont="1" applyAlignment="1">
      <alignment horizontal="center"/>
    </xf>
    <xf numFmtId="0" fontId="0" fillId="9" borderId="34" xfId="0" applyFill="1" applyBorder="1" applyAlignment="1">
      <alignment horizontal="center"/>
    </xf>
    <xf numFmtId="0" fontId="0" fillId="0" borderId="8" xfId="0" quotePrefix="1" applyBorder="1" applyAlignment="1">
      <alignment horizontal="left" vertical="center"/>
    </xf>
    <xf numFmtId="0" fontId="0" fillId="0" borderId="8" xfId="0" applyBorder="1" applyAlignment="1">
      <alignment horizontal="left" vertical="center"/>
    </xf>
    <xf numFmtId="0" fontId="7" fillId="0" borderId="16" xfId="0" applyFont="1" applyBorder="1" applyAlignment="1">
      <alignment horizontal="left" vertical="center"/>
    </xf>
    <xf numFmtId="0" fontId="0" fillId="0" borderId="16" xfId="0" applyBorder="1" applyAlignment="1">
      <alignment horizontal="left" vertical="center"/>
    </xf>
    <xf numFmtId="0" fontId="31" fillId="39" borderId="0" xfId="0" applyFont="1" applyFill="1" applyAlignment="1">
      <alignment horizontal="right"/>
    </xf>
    <xf numFmtId="0" fontId="14" fillId="0" borderId="41" xfId="0" applyFont="1" applyBorder="1" applyAlignment="1">
      <alignment horizontal="center" vertical="center"/>
    </xf>
    <xf numFmtId="0" fontId="14" fillId="0" borderId="34" xfId="0" applyFont="1" applyBorder="1" applyAlignment="1">
      <alignment horizontal="center" vertical="center"/>
    </xf>
    <xf numFmtId="0" fontId="14" fillId="0" borderId="42" xfId="0" applyFont="1" applyBorder="1" applyAlignment="1">
      <alignment horizontal="center" vertical="center"/>
    </xf>
    <xf numFmtId="0" fontId="14" fillId="0" borderId="56" xfId="0" applyFont="1" applyBorder="1" applyAlignment="1">
      <alignment horizontal="center" vertical="center"/>
    </xf>
    <xf numFmtId="0" fontId="14" fillId="0" borderId="17" xfId="0" applyFont="1" applyBorder="1" applyAlignment="1">
      <alignment horizontal="center" vertical="center"/>
    </xf>
    <xf numFmtId="0" fontId="14" fillId="0" borderId="57" xfId="0" applyFont="1" applyBorder="1" applyAlignment="1">
      <alignment horizontal="center" vertical="center"/>
    </xf>
    <xf numFmtId="0" fontId="1" fillId="0" borderId="16" xfId="0" applyFont="1" applyBorder="1" applyAlignment="1">
      <alignment horizontal="center" vertical="center"/>
    </xf>
    <xf numFmtId="0" fontId="1" fillId="0" borderId="16" xfId="0" applyFont="1" applyBorder="1" applyAlignment="1">
      <alignment horizontal="left" vertical="center"/>
    </xf>
    <xf numFmtId="0" fontId="2" fillId="10" borderId="63" xfId="0" applyFont="1" applyFill="1" applyBorder="1" applyAlignment="1">
      <alignment horizontal="center" vertical="center"/>
    </xf>
    <xf numFmtId="0" fontId="2" fillId="10" borderId="64" xfId="0" applyFont="1" applyFill="1" applyBorder="1" applyAlignment="1">
      <alignment horizontal="center" vertical="center"/>
    </xf>
    <xf numFmtId="0" fontId="1" fillId="8" borderId="16" xfId="0" applyFont="1" applyFill="1" applyBorder="1" applyAlignment="1">
      <alignment horizontal="center" vertical="center"/>
    </xf>
  </cellXfs>
  <cellStyles count="6">
    <cellStyle name="Excel Built-in Normal" xfId="5" xr:uid="{00000000-0005-0000-0000-000000000000}"/>
    <cellStyle name="Neutrale" xfId="4" builtinId="28"/>
    <cellStyle name="Normale" xfId="0" builtinId="0"/>
    <cellStyle name="Testo descrittivo" xfId="2" builtinId="53"/>
    <cellStyle name="Valore non valido" xfId="1" builtinId="27"/>
    <cellStyle name="Valore valido" xfId="3" builtinId="26"/>
  </cellStyles>
  <dxfs count="97">
    <dxf>
      <font>
        <b/>
        <i val="0"/>
      </font>
      <fill>
        <patternFill>
          <bgColor theme="8" tint="0.79998168889431442"/>
        </patternFill>
      </fill>
    </dxf>
    <dxf>
      <font>
        <b/>
        <i val="0"/>
      </font>
      <fill>
        <patternFill>
          <bgColor rgb="FFFFC000"/>
        </patternFill>
      </fill>
    </dxf>
    <dxf>
      <font>
        <b/>
        <i val="0"/>
        <color theme="0"/>
      </font>
      <fill>
        <patternFill>
          <bgColor rgb="FFFF0000"/>
        </patternFill>
      </fill>
    </dxf>
    <dxf>
      <font>
        <b/>
        <i val="0"/>
      </font>
      <fill>
        <patternFill>
          <bgColor theme="8" tint="0.79998168889431442"/>
        </patternFill>
      </fill>
    </dxf>
    <dxf>
      <font>
        <b/>
        <i val="0"/>
      </font>
      <fill>
        <patternFill>
          <bgColor rgb="FFFFC000"/>
        </patternFill>
      </fill>
    </dxf>
    <dxf>
      <font>
        <b/>
        <i val="0"/>
        <color theme="0"/>
      </font>
      <fill>
        <patternFill>
          <bgColor rgb="FFFF0000"/>
        </patternFill>
      </fill>
    </dxf>
    <dxf>
      <font>
        <color theme="0"/>
      </font>
      <fill>
        <patternFill patternType="lightGrid">
          <fgColor rgb="FF713605"/>
          <bgColor rgb="FF996633"/>
        </patternFill>
      </fill>
    </dxf>
    <dxf>
      <font>
        <b/>
        <i val="0"/>
        <color rgb="FFFFFF00"/>
      </font>
      <fill>
        <patternFill>
          <fgColor theme="1" tint="0.24994659260841701"/>
          <bgColor theme="1" tint="0.24994659260841701"/>
        </patternFill>
      </fill>
      <border>
        <left style="thin">
          <color rgb="FFFFFF00"/>
        </left>
        <right style="thin">
          <color rgb="FFFFFF00"/>
        </right>
        <top style="thin">
          <color rgb="FFFFFF00"/>
        </top>
        <bottom style="thin">
          <color rgb="FFFFFF00"/>
        </bottom>
        <vertical/>
        <horizontal/>
      </border>
    </dxf>
    <dxf>
      <fill>
        <patternFill patternType="gray0625">
          <fgColor rgb="FFFFFF00"/>
          <bgColor rgb="FF159B22"/>
        </patternFill>
      </fill>
    </dxf>
    <dxf>
      <font>
        <b/>
        <i val="0"/>
        <color theme="0"/>
      </font>
      <fill>
        <patternFill>
          <bgColor rgb="FF9966FF"/>
        </patternFill>
      </fill>
    </dxf>
    <dxf>
      <font>
        <b/>
        <i val="0"/>
        <color theme="0"/>
      </font>
      <fill>
        <patternFill>
          <bgColor rgb="FFFE5B2E"/>
        </patternFill>
      </fill>
    </dxf>
    <dxf>
      <font>
        <b/>
        <i val="0"/>
      </font>
      <fill>
        <patternFill>
          <bgColor rgb="FF87F478"/>
        </patternFill>
      </fill>
    </dxf>
    <dxf>
      <font>
        <b/>
        <i val="0"/>
        <color theme="0"/>
      </font>
      <fill>
        <patternFill>
          <bgColor theme="9" tint="-0.24994659260841701"/>
        </patternFill>
      </fill>
    </dxf>
    <dxf>
      <font>
        <b/>
        <i val="0"/>
        <color theme="0"/>
      </font>
      <fill>
        <patternFill>
          <bgColor theme="9" tint="-0.24994659260841701"/>
        </patternFill>
      </fill>
    </dxf>
    <dxf>
      <font>
        <b/>
        <i val="0"/>
        <color rgb="FFC00000"/>
      </font>
      <numFmt numFmtId="30" formatCode="@"/>
    </dxf>
    <dxf>
      <fill>
        <gradientFill type="path" left="0.5" right="0.5" top="0.5" bottom="0.5">
          <stop position="0">
            <color theme="5" tint="0.80001220740379042"/>
          </stop>
          <stop position="1">
            <color theme="5" tint="0.40000610370189521"/>
          </stop>
        </gradientFill>
      </fill>
    </dxf>
    <dxf>
      <fill>
        <gradientFill type="path" left="0.5" right="0.5" top="0.5" bottom="0.5">
          <stop position="0">
            <color theme="4" tint="0.80001220740379042"/>
          </stop>
          <stop position="1">
            <color theme="4" tint="0.40000610370189521"/>
          </stop>
        </gradientFill>
      </fill>
    </dxf>
    <dxf>
      <fill>
        <gradientFill type="path" left="0.5" right="0.5" top="0.5" bottom="0.5">
          <stop position="0">
            <color theme="6" tint="0.80001220740379042"/>
          </stop>
          <stop position="1">
            <color theme="6" tint="0.40000610370189521"/>
          </stop>
        </gradientFill>
      </fill>
    </dxf>
    <dxf>
      <fill>
        <gradientFill type="path" left="0.5" right="0.5" top="0.5" bottom="0.5">
          <stop position="0">
            <color theme="7" tint="0.80001220740379042"/>
          </stop>
          <stop position="1">
            <color theme="7" tint="0.40000610370189521"/>
          </stop>
        </gradientFill>
      </fill>
    </dxf>
    <dxf>
      <fill>
        <gradientFill type="path" left="0.5" right="0.5" top="0.5" bottom="0.5">
          <stop position="0">
            <color theme="0" tint="-5.0965910824915313E-2"/>
          </stop>
          <stop position="1">
            <color theme="0" tint="-0.25098422193060094"/>
          </stop>
        </gradientFill>
      </fill>
    </dxf>
    <dxf>
      <fill>
        <gradientFill type="path" left="0.5" right="0.5" top="0.5" bottom="0.5">
          <stop position="0">
            <color rgb="FFFFCCFF"/>
          </stop>
          <stop position="1">
            <color rgb="FFFF66CC"/>
          </stop>
        </gradientFill>
      </fill>
    </dxf>
    <dxf>
      <fill>
        <gradientFill type="path" left="0.5" right="0.5" top="0.5" bottom="0.5">
          <stop position="0">
            <color theme="9" tint="0.80001220740379042"/>
          </stop>
          <stop position="1">
            <color rgb="FFFFC000"/>
          </stop>
        </gradientFill>
      </fill>
    </dxf>
    <dxf>
      <font>
        <b val="0"/>
        <i val="0"/>
      </font>
      <fill>
        <gradientFill type="path" left="0.5" right="0.5" top="0.5" bottom="0.5">
          <stop position="0">
            <color theme="6" tint="0.80001220740379042"/>
          </stop>
          <stop position="1">
            <color rgb="FF85E345"/>
          </stop>
        </gradientFill>
      </fill>
    </dxf>
    <dxf>
      <fill>
        <gradientFill type="path" left="0.5" right="0.5" top="0.5" bottom="0.5">
          <stop position="0">
            <color theme="3" tint="0.80001220740379042"/>
          </stop>
          <stop position="1">
            <color theme="3" tint="0.40000610370189521"/>
          </stop>
        </gradientFill>
      </fill>
    </dxf>
    <dxf>
      <fill>
        <gradientFill type="path" left="0.5" right="0.5" top="0.5" bottom="0.5">
          <stop position="0">
            <color theme="2" tint="-9.8025452436902985E-2"/>
          </stop>
          <stop position="1">
            <color theme="2" tint="-0.49803155613879818"/>
          </stop>
        </gradientFill>
      </fill>
    </dxf>
    <dxf>
      <font>
        <b/>
        <i val="0"/>
        <strike val="0"/>
        <color rgb="FFFFC000"/>
      </font>
      <numFmt numFmtId="30" formatCode="@"/>
      <fill>
        <patternFill patternType="darkTrellis">
          <fgColor theme="0"/>
          <bgColor theme="1" tint="0.24994659260841701"/>
        </patternFill>
      </fill>
    </dxf>
    <dxf>
      <font>
        <b/>
        <i val="0"/>
        <color theme="0"/>
      </font>
      <numFmt numFmtId="30" formatCode="@"/>
      <fill>
        <patternFill>
          <bgColor theme="1"/>
        </patternFill>
      </fill>
    </dxf>
    <dxf>
      <font>
        <color rgb="FF9C0006"/>
      </font>
      <fill>
        <patternFill>
          <bgColor rgb="FFFFC7CE"/>
        </patternFill>
      </fill>
    </dxf>
    <dxf>
      <fill>
        <patternFill patternType="lightTrellis">
          <fgColor theme="4" tint="0.59996337778862885"/>
        </patternFill>
      </fill>
    </dxf>
    <dxf>
      <fill>
        <patternFill patternType="lightGrid">
          <fgColor rgb="FFFFC000"/>
        </patternFill>
      </fill>
    </dxf>
    <dxf>
      <font>
        <b/>
        <i val="0"/>
        <color theme="1"/>
      </font>
      <numFmt numFmtId="0" formatCode="General"/>
      <fill>
        <gradientFill degree="90">
          <stop position="0">
            <color theme="0"/>
          </stop>
          <stop position="1">
            <color rgb="FFFFCCFF"/>
          </stop>
        </gradient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font>
      <fill>
        <gradientFill>
          <stop position="0">
            <color rgb="FFFFFF00"/>
          </stop>
          <stop position="1">
            <color theme="9" tint="-0.25098422193060094"/>
          </stop>
        </gradientFill>
      </fill>
    </dxf>
    <dxf>
      <font>
        <b/>
        <i val="0"/>
      </font>
      <fill>
        <gradientFill degree="180">
          <stop position="0">
            <color rgb="FFFFCCFF"/>
          </stop>
          <stop position="1">
            <color rgb="FFFF66CC"/>
          </stop>
        </gradientFill>
      </fill>
    </dxf>
    <dxf>
      <font>
        <b/>
        <i val="0"/>
        <color theme="1"/>
      </font>
      <fill>
        <gradientFill degree="270">
          <stop position="0">
            <color theme="0"/>
          </stop>
          <stop position="1">
            <color theme="6" tint="0.40000610370189521"/>
          </stop>
        </gradientFill>
      </fill>
    </dxf>
    <dxf>
      <font>
        <b/>
        <i val="0"/>
        <color auto="1"/>
      </font>
      <fill>
        <gradientFill degree="90">
          <stop position="0">
            <color rgb="FF0070C0"/>
          </stop>
          <stop position="0.5">
            <color theme="8" tint="0.59999389629810485"/>
          </stop>
          <stop position="1">
            <color rgb="FF0070C0"/>
          </stop>
        </gradientFill>
      </fill>
    </dxf>
    <dxf>
      <font>
        <b/>
        <i val="0"/>
        <color theme="0"/>
      </font>
      <fill>
        <patternFill>
          <bgColor theme="9" tint="-0.24994659260841701"/>
        </patternFill>
      </fill>
    </dxf>
    <dxf>
      <font>
        <b/>
        <i val="0"/>
        <color rgb="FFFF0000"/>
      </font>
      <fill>
        <gradientFill degree="180">
          <stop position="0">
            <color theme="0"/>
          </stop>
          <stop position="1">
            <color theme="0"/>
          </stop>
        </gradientFill>
      </fill>
      <border>
        <left style="thin">
          <color rgb="FFFF0000"/>
        </left>
        <right style="thin">
          <color rgb="FFFF0000"/>
        </right>
        <top style="thin">
          <color rgb="FFFF0000"/>
        </top>
        <bottom style="thin">
          <color rgb="FFFF0000"/>
        </bottom>
        <vertical/>
        <horizontal/>
      </border>
    </dxf>
    <dxf>
      <fill>
        <gradientFill degree="180">
          <stop position="0">
            <color theme="0"/>
          </stop>
          <stop position="1">
            <color rgb="FFFFFFCC"/>
          </stop>
        </gradientFill>
      </fill>
    </dxf>
    <dxf>
      <fill>
        <patternFill>
          <bgColor rgb="FFFFFFCC"/>
        </patternFill>
      </fill>
    </dxf>
    <dxf>
      <font>
        <b/>
        <i val="0"/>
        <color auto="1"/>
      </font>
      <fill>
        <gradientFill degree="180">
          <stop position="0">
            <color theme="9" tint="0.80001220740379042"/>
          </stop>
          <stop position="1">
            <color theme="9" tint="0.40000610370189521"/>
          </stop>
        </gradientFill>
      </fill>
    </dxf>
    <dxf>
      <font>
        <b/>
        <i val="0"/>
        <color theme="0"/>
      </font>
      <fill>
        <gradientFill degree="180">
          <stop position="0">
            <color theme="0"/>
          </stop>
          <stop position="1">
            <color rgb="FF00B0F0"/>
          </stop>
        </gradientFill>
      </fill>
    </dxf>
    <dxf>
      <font>
        <b/>
        <i val="0"/>
        <color auto="1"/>
      </font>
      <fill>
        <gradientFill degree="180">
          <stop position="0">
            <color theme="0"/>
          </stop>
          <stop position="1">
            <color theme="8" tint="0.40000610370189521"/>
          </stop>
        </gradientFill>
      </fill>
    </dxf>
    <dxf>
      <font>
        <b/>
        <i val="0"/>
      </font>
      <numFmt numFmtId="30" formatCode="@"/>
      <fill>
        <gradientFill degree="180">
          <stop position="0">
            <color theme="0"/>
          </stop>
          <stop position="1">
            <color rgb="FFFFFF00"/>
          </stop>
        </gradientFill>
      </fill>
    </dxf>
    <dxf>
      <font>
        <b/>
        <i val="0"/>
        <color theme="0"/>
      </font>
      <fill>
        <gradientFill degree="180">
          <stop position="0">
            <color theme="0"/>
          </stop>
          <stop position="1">
            <color rgb="FFFF7C80"/>
          </stop>
        </gradientFill>
      </fill>
    </dxf>
    <dxf>
      <font>
        <b/>
        <i val="0"/>
        <color theme="0"/>
      </font>
      <fill>
        <gradientFill degree="180">
          <stop position="0">
            <color rgb="FFFFCCFF"/>
          </stop>
          <stop position="1">
            <color rgb="FF7030A0"/>
          </stop>
        </gradientFill>
      </fill>
    </dxf>
    <dxf>
      <font>
        <b/>
        <i val="0"/>
      </font>
      <fill>
        <gradientFill degree="90">
          <stop position="0">
            <color rgb="FFFFFFCC"/>
          </stop>
          <stop position="0.5">
            <color rgb="FFFFC000"/>
          </stop>
          <stop position="1">
            <color rgb="FFFFFFCC"/>
          </stop>
        </gradientFill>
      </fill>
    </dxf>
    <dxf>
      <font>
        <b/>
        <i val="0"/>
        <strike val="0"/>
        <color theme="0"/>
      </font>
      <fill>
        <patternFill>
          <bgColor rgb="FF00B050"/>
        </patternFill>
      </fill>
    </dxf>
    <dxf>
      <font>
        <b/>
        <i val="0"/>
      </font>
      <fill>
        <patternFill>
          <bgColor rgb="FFFFC000"/>
        </patternFill>
      </fill>
    </dxf>
    <dxf>
      <font>
        <b/>
        <i val="0"/>
        <color theme="0"/>
      </font>
      <fill>
        <patternFill>
          <bgColor rgb="FF00B0F0"/>
        </patternFill>
      </fill>
    </dxf>
    <dxf>
      <font>
        <b/>
        <i val="0"/>
      </font>
      <fill>
        <patternFill>
          <bgColor rgb="FF6DD9FF"/>
        </patternFill>
      </fill>
    </dxf>
    <dxf>
      <fill>
        <patternFill>
          <bgColor theme="6" tint="0.39994506668294322"/>
        </patternFill>
      </fill>
    </dxf>
    <dxf>
      <font>
        <b/>
        <i val="0"/>
        <color theme="0"/>
      </font>
      <fill>
        <patternFill>
          <bgColor rgb="FFFF6600"/>
        </patternFill>
      </fill>
    </dxf>
    <dxf>
      <font>
        <b/>
        <i val="0"/>
        <color theme="0"/>
      </font>
      <fill>
        <patternFill>
          <bgColor rgb="FFCC0000"/>
        </patternFill>
      </fill>
    </dxf>
    <dxf>
      <font>
        <b/>
        <i val="0"/>
        <color theme="1"/>
      </font>
      <fill>
        <patternFill>
          <bgColor rgb="FFFFFF00"/>
        </patternFill>
      </fill>
    </dxf>
    <dxf>
      <font>
        <b/>
        <i val="0"/>
      </font>
      <fill>
        <patternFill>
          <bgColor rgb="FFA9D24E"/>
        </patternFill>
      </fill>
    </dxf>
    <dxf>
      <font>
        <b/>
        <i val="0"/>
        <color theme="0"/>
      </font>
      <fill>
        <patternFill>
          <bgColor theme="3" tint="-0.24994659260841701"/>
        </patternFill>
      </fill>
    </dxf>
    <dxf>
      <font>
        <b/>
        <i val="0"/>
        <color theme="0"/>
      </font>
      <fill>
        <patternFill>
          <bgColor rgb="FF7030A0"/>
        </patternFill>
      </fill>
    </dxf>
    <dxf>
      <font>
        <b/>
        <i val="0"/>
        <color rgb="FFFF0000"/>
      </font>
      <fill>
        <patternFill patternType="solid">
          <bgColor theme="8" tint="0.79995117038483843"/>
        </patternFill>
      </fill>
    </dxf>
    <dxf>
      <font>
        <b/>
        <i val="0"/>
        <color theme="1"/>
      </font>
      <fill>
        <patternFill patternType="lightGray">
          <fgColor theme="9" tint="-0.499984740745262"/>
          <bgColor auto="1"/>
        </patternFill>
      </fill>
    </dxf>
    <dxf>
      <font>
        <b/>
        <i val="0"/>
        <color theme="0"/>
      </font>
      <fill>
        <patternFill>
          <bgColor rgb="FF006600"/>
        </patternFill>
      </fill>
    </dxf>
    <dxf>
      <font>
        <b/>
        <i val="0"/>
        <color theme="1"/>
      </font>
      <numFmt numFmtId="30" formatCode="@"/>
      <fill>
        <patternFill>
          <bgColor rgb="FF66FFFF"/>
        </patternFill>
      </fill>
    </dxf>
    <dxf>
      <font>
        <b/>
        <i val="0"/>
        <color theme="0"/>
      </font>
      <fill>
        <gradientFill degree="180">
          <stop position="0">
            <color theme="6" tint="0.80001220740379042"/>
          </stop>
          <stop position="1">
            <color rgb="FF006600"/>
          </stop>
        </gradientFill>
      </fill>
    </dxf>
    <dxf>
      <font>
        <b/>
        <i val="0"/>
        <color theme="1"/>
      </font>
      <numFmt numFmtId="30" formatCode="@"/>
      <fill>
        <gradientFill degree="180">
          <stop position="0">
            <color theme="8" tint="0.80001220740379042"/>
          </stop>
          <stop position="1">
            <color rgb="FF66FFFF"/>
          </stop>
        </gradientFill>
      </fill>
    </dxf>
    <dxf>
      <fill>
        <gradientFill degree="180">
          <stop position="0">
            <color theme="0"/>
          </stop>
          <stop position="1">
            <color rgb="FFFFFFCC"/>
          </stop>
        </gradientFill>
      </fill>
    </dxf>
    <dxf>
      <fill>
        <patternFill>
          <bgColor rgb="FFFFFFCC"/>
        </patternFill>
      </fill>
    </dxf>
    <dxf>
      <font>
        <b/>
        <i val="0"/>
        <strike val="0"/>
        <color theme="0"/>
      </font>
      <fill>
        <gradientFill degree="180">
          <stop position="0">
            <color theme="5" tint="0.80001220740379042"/>
          </stop>
          <stop position="1">
            <color theme="5" tint="0.40000610370189521"/>
          </stop>
        </gradientFill>
      </fill>
    </dxf>
    <dxf>
      <font>
        <b/>
        <i val="0"/>
        <color auto="1"/>
      </font>
      <fill>
        <gradientFill degree="180">
          <stop position="0">
            <color rgb="FFF5F8EE"/>
          </stop>
          <stop position="1">
            <color theme="6" tint="0.59999389629810485"/>
          </stop>
        </gradientFill>
      </fill>
    </dxf>
    <dxf>
      <font>
        <b/>
        <i val="0"/>
        <color auto="1"/>
      </font>
      <fill>
        <gradientFill degree="180">
          <stop position="0">
            <color theme="9" tint="0.80001220740379042"/>
          </stop>
          <stop position="1">
            <color theme="9" tint="0.59999389629810485"/>
          </stop>
        </gradientFill>
      </fill>
    </dxf>
    <dxf>
      <font>
        <b/>
        <i val="0"/>
        <color theme="0"/>
      </font>
      <fill>
        <gradientFill degree="180">
          <stop position="0">
            <color theme="8" tint="0.80001220740379042"/>
          </stop>
          <stop position="1">
            <color rgb="FF00B0F0"/>
          </stop>
        </gradientFill>
      </fill>
    </dxf>
    <dxf>
      <font>
        <b/>
        <i val="0"/>
        <color auto="1"/>
      </font>
      <fill>
        <gradientFill degree="180">
          <stop position="0">
            <color theme="8" tint="0.80001220740379042"/>
          </stop>
          <stop position="1">
            <color theme="8" tint="0.40000610370189521"/>
          </stop>
        </gradientFill>
      </fill>
    </dxf>
    <dxf>
      <font>
        <b/>
        <i val="0"/>
        <color rgb="FFC00000"/>
      </font>
      <numFmt numFmtId="30" formatCode="@"/>
      <fill>
        <gradientFill degree="180">
          <stop position="0">
            <color rgb="FFFFFFCC"/>
          </stop>
          <stop position="1">
            <color rgb="FFFFFF00"/>
          </stop>
        </gradientFill>
      </fill>
    </dxf>
    <dxf>
      <font>
        <b/>
        <i val="0"/>
      </font>
      <fill>
        <gradientFill degree="180">
          <stop position="0">
            <color theme="0"/>
          </stop>
          <stop position="1">
            <color rgb="FFCCFFCC"/>
          </stop>
        </gradientFill>
      </fill>
    </dxf>
    <dxf>
      <font>
        <b/>
        <i val="0"/>
        <color theme="0"/>
      </font>
      <fill>
        <gradientFill degree="180">
          <stop position="0">
            <color theme="0" tint="-0.1490218817712943"/>
          </stop>
          <stop position="1">
            <color theme="1"/>
          </stop>
        </gradientFill>
      </fill>
    </dxf>
    <dxf>
      <font>
        <b/>
        <i val="0"/>
        <color theme="0"/>
      </font>
      <fill>
        <gradientFill degree="180">
          <stop position="0">
            <color theme="5" tint="0.80001220740379042"/>
          </stop>
          <stop position="1">
            <color rgb="FFFF7C80"/>
          </stop>
        </gradientFill>
      </fill>
    </dxf>
    <dxf>
      <font>
        <b/>
        <i val="0"/>
        <color theme="0"/>
      </font>
      <fill>
        <gradientFill degree="180">
          <stop position="0">
            <color theme="7" tint="0.80001220740379042"/>
          </stop>
          <stop position="1">
            <color rgb="FF9999FF"/>
          </stop>
        </gradientFill>
      </fill>
    </dxf>
    <dxf>
      <fill>
        <gradientFill type="path" left="0.5" right="0.5" top="0.5" bottom="0.5">
          <stop position="0">
            <color rgb="FFFFABAB"/>
          </stop>
          <stop position="1">
            <color rgb="FFFF2929"/>
          </stop>
        </gradientFill>
      </fill>
    </dxf>
    <dxf>
      <fill>
        <gradientFill type="path" left="0.5" right="0.5" top="0.5" bottom="0.5">
          <stop position="0">
            <color theme="6" tint="0.59999389629810485"/>
          </stop>
          <stop position="1">
            <color rgb="FF00B050"/>
          </stop>
        </gradientFill>
      </fill>
    </dxf>
    <dxf>
      <fill>
        <gradientFill type="path" left="0.5" right="0.5" top="0.5" bottom="0.5">
          <stop position="0">
            <color theme="5" tint="0.80001220740379042"/>
          </stop>
          <stop position="1">
            <color theme="5" tint="0.40000610370189521"/>
          </stop>
        </gradientFill>
      </fill>
    </dxf>
    <dxf>
      <fill>
        <gradientFill type="path" left="0.5" right="0.5" top="0.5" bottom="0.5">
          <stop position="0">
            <color theme="4" tint="0.80001220740379042"/>
          </stop>
          <stop position="1">
            <color theme="4" tint="0.40000610370189521"/>
          </stop>
        </gradientFill>
      </fill>
    </dxf>
    <dxf>
      <fill>
        <gradientFill type="path" left="0.5" right="0.5" top="0.5" bottom="0.5">
          <stop position="0">
            <color theme="6" tint="0.80001220740379042"/>
          </stop>
          <stop position="1">
            <color theme="6" tint="0.40000610370189521"/>
          </stop>
        </gradientFill>
      </fill>
    </dxf>
    <dxf>
      <fill>
        <gradientFill type="path" left="0.5" right="0.5" top="0.5" bottom="0.5">
          <stop position="0">
            <color theme="7" tint="0.80001220740379042"/>
          </stop>
          <stop position="1">
            <color theme="7" tint="0.40000610370189521"/>
          </stop>
        </gradientFill>
      </fill>
    </dxf>
    <dxf>
      <fill>
        <gradientFill type="path" left="0.5" right="0.5" top="0.5" bottom="0.5">
          <stop position="0">
            <color theme="0" tint="-5.0965910824915313E-2"/>
          </stop>
          <stop position="1">
            <color theme="0" tint="-0.25098422193060094"/>
          </stop>
        </gradientFill>
      </fill>
    </dxf>
    <dxf>
      <fill>
        <gradientFill type="path" left="0.5" right="0.5" top="0.5" bottom="0.5">
          <stop position="0">
            <color rgb="FFFFCCFF"/>
          </stop>
          <stop position="1">
            <color rgb="FFFF66CC"/>
          </stop>
        </gradientFill>
      </fill>
    </dxf>
    <dxf>
      <fill>
        <gradientFill type="path" left="0.5" right="0.5" top="0.5" bottom="0.5">
          <stop position="0">
            <color theme="9" tint="0.80001220740379042"/>
          </stop>
          <stop position="1">
            <color rgb="FFFFC000"/>
          </stop>
        </gradientFill>
      </fill>
    </dxf>
    <dxf>
      <font>
        <b val="0"/>
        <i val="0"/>
      </font>
      <fill>
        <gradientFill type="path" left="0.5" right="0.5" top="0.5" bottom="0.5">
          <stop position="0">
            <color theme="6" tint="0.80001220740379042"/>
          </stop>
          <stop position="1">
            <color rgb="FF85E345"/>
          </stop>
        </gradientFill>
      </fill>
    </dxf>
    <dxf>
      <fill>
        <gradientFill type="path" left="0.5" right="0.5" top="0.5" bottom="0.5">
          <stop position="0">
            <color theme="3" tint="0.80001220740379042"/>
          </stop>
          <stop position="1">
            <color theme="3" tint="0.40000610370189521"/>
          </stop>
        </gradientFill>
      </fill>
    </dxf>
    <dxf>
      <fill>
        <gradientFill type="path" left="0.5" right="0.5" top="0.5" bottom="0.5">
          <stop position="0">
            <color theme="2" tint="-9.8025452436902985E-2"/>
          </stop>
          <stop position="1">
            <color theme="2" tint="-0.49803155613879818"/>
          </stop>
        </gradientFill>
      </fill>
    </dxf>
    <dxf>
      <font>
        <b/>
        <i val="0"/>
        <strike val="0"/>
        <color rgb="FFFFC000"/>
      </font>
      <numFmt numFmtId="30" formatCode="@"/>
      <fill>
        <patternFill patternType="darkTrellis">
          <fgColor theme="0"/>
          <bgColor theme="1" tint="0.24994659260841701"/>
        </patternFill>
      </fill>
    </dxf>
    <dxf>
      <font>
        <b/>
        <i val="0"/>
        <color theme="0"/>
      </font>
      <numFmt numFmtId="30" formatCode="@"/>
      <fill>
        <patternFill>
          <bgColor theme="1"/>
        </patternFill>
      </fill>
    </dxf>
    <dxf>
      <font>
        <color rgb="FF9C0006"/>
      </font>
      <fill>
        <patternFill>
          <bgColor rgb="FFFFC7CE"/>
        </patternFill>
      </fill>
    </dxf>
    <dxf>
      <fill>
        <patternFill patternType="lightTrellis">
          <fgColor theme="4" tint="0.59996337778862885"/>
        </patternFill>
      </fill>
    </dxf>
    <dxf>
      <fill>
        <patternFill patternType="lightGrid">
          <fgColor rgb="FFFFC000"/>
        </patternFill>
      </fill>
    </dxf>
    <dxf>
      <font>
        <b val="0"/>
        <i val="0"/>
        <color theme="1"/>
      </font>
      <numFmt numFmtId="0" formatCode="General"/>
      <fill>
        <gradientFill degree="90">
          <stop position="0">
            <color theme="0"/>
          </stop>
          <stop position="1">
            <color rgb="FFFFCCFF"/>
          </stop>
        </gradientFill>
      </fill>
    </dxf>
  </dxfs>
  <tableStyles count="0" defaultTableStyle="TableStyleMedium2" defaultPivotStyle="PivotStyleMedium9"/>
  <colors>
    <mruColors>
      <color rgb="FFCCFF99"/>
      <color rgb="FFCFE9D4"/>
      <color rgb="FF87F478"/>
      <color rgb="FF159B22"/>
      <color rgb="FF713605"/>
      <color rgb="FFECE9C6"/>
      <color rgb="FF996633"/>
      <color rgb="FFFE5B2E"/>
      <color rgb="FF9966FF"/>
      <color rgb="FFF6882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sv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image" Target="../media/image13.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0</xdr:row>
          <xdr:rowOff>0</xdr:rowOff>
        </xdr:from>
        <xdr:to>
          <xdr:col>11</xdr:col>
          <xdr:colOff>0</xdr:colOff>
          <xdr:row>1</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FF0000"/>
                  </a:solidFill>
                  <a:latin typeface="Calibri"/>
                  <a:cs typeface="Calibri"/>
                </a:rPr>
                <a:t>ENTRATA - USCITA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0</xdr:row>
          <xdr:rowOff>9525</xdr:rowOff>
        </xdr:from>
        <xdr:to>
          <xdr:col>17</xdr:col>
          <xdr:colOff>676275</xdr:colOff>
          <xdr:row>0</xdr:row>
          <xdr:rowOff>419100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800" b="1" i="0" u="none" strike="noStrike" baseline="0">
                  <a:solidFill>
                    <a:srgbClr val="000000"/>
                  </a:solidFill>
                  <a:latin typeface="Calibri"/>
                  <a:cs typeface="Calibri"/>
                </a:rPr>
                <a:t>ASSEGNA DATA</a:t>
              </a:r>
            </a:p>
          </xdr:txBody>
        </xdr:sp>
        <xdr:clientData fPrintsWithSheet="0"/>
      </xdr:twoCellAnchor>
    </mc:Choice>
    <mc:Fallback/>
  </mc:AlternateContent>
  <xdr:twoCellAnchor editAs="oneCell">
    <xdr:from>
      <xdr:col>18</xdr:col>
      <xdr:colOff>127906</xdr:colOff>
      <xdr:row>1</xdr:row>
      <xdr:rowOff>70416</xdr:rowOff>
    </xdr:from>
    <xdr:to>
      <xdr:col>18</xdr:col>
      <xdr:colOff>280306</xdr:colOff>
      <xdr:row>1</xdr:row>
      <xdr:rowOff>222816</xdr:rowOff>
    </xdr:to>
    <xdr:pic>
      <xdr:nvPicPr>
        <xdr:cNvPr id="4" name="Immagin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748906" y="788873"/>
          <a:ext cx="152400" cy="152400"/>
        </a:xfrm>
        <a:prstGeom prst="rect">
          <a:avLst/>
        </a:prstGeom>
      </xdr:spPr>
    </xdr:pic>
    <xdr:clientData/>
  </xdr:twoCellAnchor>
  <xdr:twoCellAnchor editAs="oneCell">
    <xdr:from>
      <xdr:col>23</xdr:col>
      <xdr:colOff>136952</xdr:colOff>
      <xdr:row>1</xdr:row>
      <xdr:rowOff>72070</xdr:rowOff>
    </xdr:from>
    <xdr:to>
      <xdr:col>23</xdr:col>
      <xdr:colOff>289352</xdr:colOff>
      <xdr:row>1</xdr:row>
      <xdr:rowOff>224470</xdr:rowOff>
    </xdr:to>
    <xdr:pic>
      <xdr:nvPicPr>
        <xdr:cNvPr id="5" name="Immagin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004361" y="2314775"/>
          <a:ext cx="152400" cy="152400"/>
        </a:xfrm>
        <a:prstGeom prst="rect">
          <a:avLst/>
        </a:prstGeom>
      </xdr:spPr>
    </xdr:pic>
    <xdr:clientData/>
  </xdr:twoCellAnchor>
  <xdr:oneCellAnchor>
    <xdr:from>
      <xdr:col>25</xdr:col>
      <xdr:colOff>64076</xdr:colOff>
      <xdr:row>8</xdr:row>
      <xdr:rowOff>69055</xdr:rowOff>
    </xdr:from>
    <xdr:ext cx="152400" cy="152400"/>
    <xdr:pic>
      <xdr:nvPicPr>
        <xdr:cNvPr id="6" name="Immagin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114076" y="2564605"/>
          <a:ext cx="152400" cy="152400"/>
        </a:xfrm>
        <a:prstGeom prst="rect">
          <a:avLst/>
        </a:prstGeom>
      </xdr:spPr>
    </xdr:pic>
    <xdr:clientData/>
  </xdr:oneCellAnchor>
  <xdr:oneCellAnchor>
    <xdr:from>
      <xdr:col>31</xdr:col>
      <xdr:colOff>182842</xdr:colOff>
      <xdr:row>8</xdr:row>
      <xdr:rowOff>64277</xdr:rowOff>
    </xdr:from>
    <xdr:ext cx="152400" cy="152400"/>
    <xdr:pic>
      <xdr:nvPicPr>
        <xdr:cNvPr id="7" name="Immagin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509442" y="1969277"/>
          <a:ext cx="152400" cy="152400"/>
        </a:xfrm>
        <a:prstGeom prst="rect">
          <a:avLst/>
        </a:prstGeom>
      </xdr:spPr>
    </xdr:pic>
    <xdr:clientData/>
  </xdr:oneCellAnchor>
  <xdr:twoCellAnchor editAs="oneCell">
    <xdr:from>
      <xdr:col>26</xdr:col>
      <xdr:colOff>38100</xdr:colOff>
      <xdr:row>44</xdr:row>
      <xdr:rowOff>19050</xdr:rowOff>
    </xdr:from>
    <xdr:to>
      <xdr:col>26</xdr:col>
      <xdr:colOff>38100</xdr:colOff>
      <xdr:row>44</xdr:row>
      <xdr:rowOff>171450</xdr:rowOff>
    </xdr:to>
    <xdr:pic>
      <xdr:nvPicPr>
        <xdr:cNvPr id="29" name="Immagine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686300" y="2609850"/>
          <a:ext cx="152400" cy="152400"/>
        </a:xfrm>
        <a:prstGeom prst="rect">
          <a:avLst/>
        </a:prstGeom>
      </xdr:spPr>
    </xdr:pic>
    <xdr:clientData/>
  </xdr:twoCellAnchor>
  <xdr:twoCellAnchor editAs="oneCell">
    <xdr:from>
      <xdr:col>28</xdr:col>
      <xdr:colOff>542925</xdr:colOff>
      <xdr:row>38</xdr:row>
      <xdr:rowOff>38100</xdr:rowOff>
    </xdr:from>
    <xdr:to>
      <xdr:col>28</xdr:col>
      <xdr:colOff>552903</xdr:colOff>
      <xdr:row>38</xdr:row>
      <xdr:rowOff>190500</xdr:rowOff>
    </xdr:to>
    <xdr:pic>
      <xdr:nvPicPr>
        <xdr:cNvPr id="30" name="Immagine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591300" y="971550"/>
          <a:ext cx="152400" cy="152400"/>
        </a:xfrm>
        <a:prstGeom prst="rect">
          <a:avLst/>
        </a:prstGeom>
      </xdr:spPr>
    </xdr:pic>
    <xdr:clientData/>
  </xdr:twoCellAnchor>
  <xdr:twoCellAnchor editAs="oneCell">
    <xdr:from>
      <xdr:col>28</xdr:col>
      <xdr:colOff>542925</xdr:colOff>
      <xdr:row>40</xdr:row>
      <xdr:rowOff>38100</xdr:rowOff>
    </xdr:from>
    <xdr:to>
      <xdr:col>28</xdr:col>
      <xdr:colOff>552903</xdr:colOff>
      <xdr:row>40</xdr:row>
      <xdr:rowOff>276224</xdr:rowOff>
    </xdr:to>
    <xdr:pic>
      <xdr:nvPicPr>
        <xdr:cNvPr id="31" name="Immagine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591300" y="1400175"/>
          <a:ext cx="152400" cy="152400"/>
        </a:xfrm>
        <a:prstGeom prst="rect">
          <a:avLst/>
        </a:prstGeom>
      </xdr:spPr>
    </xdr:pic>
    <xdr:clientData/>
  </xdr:twoCellAnchor>
  <xdr:twoCellAnchor editAs="oneCell">
    <xdr:from>
      <xdr:col>28</xdr:col>
      <xdr:colOff>542925</xdr:colOff>
      <xdr:row>42</xdr:row>
      <xdr:rowOff>38100</xdr:rowOff>
    </xdr:from>
    <xdr:to>
      <xdr:col>28</xdr:col>
      <xdr:colOff>552903</xdr:colOff>
      <xdr:row>42</xdr:row>
      <xdr:rowOff>266701</xdr:rowOff>
    </xdr:to>
    <xdr:pic>
      <xdr:nvPicPr>
        <xdr:cNvPr id="32" name="Immagin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591300" y="1771650"/>
          <a:ext cx="152400" cy="152400"/>
        </a:xfrm>
        <a:prstGeom prst="rect">
          <a:avLst/>
        </a:prstGeom>
      </xdr:spPr>
    </xdr:pic>
    <xdr:clientData/>
  </xdr:twoCellAnchor>
  <xdr:twoCellAnchor editAs="oneCell">
    <xdr:from>
      <xdr:col>28</xdr:col>
      <xdr:colOff>542925</xdr:colOff>
      <xdr:row>46</xdr:row>
      <xdr:rowOff>38100</xdr:rowOff>
    </xdr:from>
    <xdr:to>
      <xdr:col>28</xdr:col>
      <xdr:colOff>552903</xdr:colOff>
      <xdr:row>46</xdr:row>
      <xdr:rowOff>266700</xdr:rowOff>
    </xdr:to>
    <xdr:pic>
      <xdr:nvPicPr>
        <xdr:cNvPr id="33" name="Immagine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591300" y="3009900"/>
          <a:ext cx="152400" cy="152400"/>
        </a:xfrm>
        <a:prstGeom prst="rect">
          <a:avLst/>
        </a:prstGeom>
      </xdr:spPr>
    </xdr:pic>
    <xdr:clientData/>
  </xdr:twoCellAnchor>
  <xdr:twoCellAnchor editAs="oneCell">
    <xdr:from>
      <xdr:col>28</xdr:col>
      <xdr:colOff>552450</xdr:colOff>
      <xdr:row>48</xdr:row>
      <xdr:rowOff>38100</xdr:rowOff>
    </xdr:from>
    <xdr:to>
      <xdr:col>28</xdr:col>
      <xdr:colOff>562428</xdr:colOff>
      <xdr:row>48</xdr:row>
      <xdr:rowOff>266700</xdr:rowOff>
    </xdr:to>
    <xdr:pic>
      <xdr:nvPicPr>
        <xdr:cNvPr id="34" name="Immagine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00825" y="3390900"/>
          <a:ext cx="152400" cy="152400"/>
        </a:xfrm>
        <a:prstGeom prst="rect">
          <a:avLst/>
        </a:prstGeom>
      </xdr:spPr>
    </xdr:pic>
    <xdr:clientData/>
  </xdr:twoCellAnchor>
  <xdr:twoCellAnchor editAs="oneCell">
    <xdr:from>
      <xdr:col>26</xdr:col>
      <xdr:colOff>57150</xdr:colOff>
      <xdr:row>36</xdr:row>
      <xdr:rowOff>47625</xdr:rowOff>
    </xdr:from>
    <xdr:to>
      <xdr:col>26</xdr:col>
      <xdr:colOff>57150</xdr:colOff>
      <xdr:row>36</xdr:row>
      <xdr:rowOff>200025</xdr:rowOff>
    </xdr:to>
    <xdr:pic>
      <xdr:nvPicPr>
        <xdr:cNvPr id="35" name="Immagine 34">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705350" y="533400"/>
          <a:ext cx="152400" cy="152400"/>
        </a:xfrm>
        <a:prstGeom prst="rect">
          <a:avLst/>
        </a:prstGeom>
      </xdr:spPr>
    </xdr:pic>
    <xdr:clientData/>
  </xdr:twoCellAnchor>
  <xdr:twoCellAnchor editAs="oneCell">
    <xdr:from>
      <xdr:col>1</xdr:col>
      <xdr:colOff>85727</xdr:colOff>
      <xdr:row>0</xdr:row>
      <xdr:rowOff>104777</xdr:rowOff>
    </xdr:from>
    <xdr:to>
      <xdr:col>1</xdr:col>
      <xdr:colOff>295277</xdr:colOff>
      <xdr:row>0</xdr:row>
      <xdr:rowOff>314327</xdr:rowOff>
    </xdr:to>
    <xdr:pic>
      <xdr:nvPicPr>
        <xdr:cNvPr id="11" name="Immagin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76252" y="104777"/>
          <a:ext cx="209550" cy="209550"/>
        </a:xfrm>
        <a:prstGeom prst="rect">
          <a:avLst/>
        </a:prstGeom>
      </xdr:spPr>
    </xdr:pic>
    <xdr:clientData/>
  </xdr:twoCellAnchor>
  <xdr:twoCellAnchor editAs="oneCell">
    <xdr:from>
      <xdr:col>2</xdr:col>
      <xdr:colOff>57151</xdr:colOff>
      <xdr:row>0</xdr:row>
      <xdr:rowOff>114301</xdr:rowOff>
    </xdr:from>
    <xdr:to>
      <xdr:col>2</xdr:col>
      <xdr:colOff>266701</xdr:colOff>
      <xdr:row>0</xdr:row>
      <xdr:rowOff>323851</xdr:rowOff>
    </xdr:to>
    <xdr:pic>
      <xdr:nvPicPr>
        <xdr:cNvPr id="36" name="Immagin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57351" y="114301"/>
          <a:ext cx="209550" cy="209550"/>
        </a:xfrm>
        <a:prstGeom prst="rect">
          <a:avLst/>
        </a:prstGeom>
      </xdr:spPr>
    </xdr:pic>
    <xdr:clientData/>
  </xdr:twoCellAnchor>
  <xdr:twoCellAnchor editAs="oneCell">
    <xdr:from>
      <xdr:col>5</xdr:col>
      <xdr:colOff>371476</xdr:colOff>
      <xdr:row>0</xdr:row>
      <xdr:rowOff>114301</xdr:rowOff>
    </xdr:from>
    <xdr:to>
      <xdr:col>5</xdr:col>
      <xdr:colOff>581026</xdr:colOff>
      <xdr:row>0</xdr:row>
      <xdr:rowOff>323851</xdr:rowOff>
    </xdr:to>
    <xdr:pic>
      <xdr:nvPicPr>
        <xdr:cNvPr id="37" name="Immagin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562351" y="114301"/>
          <a:ext cx="209550" cy="209550"/>
        </a:xfrm>
        <a:prstGeom prst="rect">
          <a:avLst/>
        </a:prstGeom>
      </xdr:spPr>
    </xdr:pic>
    <xdr:clientData/>
  </xdr:twoCellAnchor>
  <xdr:twoCellAnchor editAs="oneCell">
    <xdr:from>
      <xdr:col>7</xdr:col>
      <xdr:colOff>47626</xdr:colOff>
      <xdr:row>0</xdr:row>
      <xdr:rowOff>104776</xdr:rowOff>
    </xdr:from>
    <xdr:to>
      <xdr:col>7</xdr:col>
      <xdr:colOff>257176</xdr:colOff>
      <xdr:row>0</xdr:row>
      <xdr:rowOff>314326</xdr:rowOff>
    </xdr:to>
    <xdr:pic>
      <xdr:nvPicPr>
        <xdr:cNvPr id="38" name="Immagin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095876" y="104776"/>
          <a:ext cx="209550" cy="209550"/>
        </a:xfrm>
        <a:prstGeom prst="rect">
          <a:avLst/>
        </a:prstGeom>
      </xdr:spPr>
    </xdr:pic>
    <xdr:clientData/>
  </xdr:twoCellAnchor>
  <xdr:twoCellAnchor editAs="oneCell">
    <xdr:from>
      <xdr:col>13</xdr:col>
      <xdr:colOff>76201</xdr:colOff>
      <xdr:row>0</xdr:row>
      <xdr:rowOff>114301</xdr:rowOff>
    </xdr:from>
    <xdr:to>
      <xdr:col>13</xdr:col>
      <xdr:colOff>285751</xdr:colOff>
      <xdr:row>0</xdr:row>
      <xdr:rowOff>323851</xdr:rowOff>
    </xdr:to>
    <xdr:pic>
      <xdr:nvPicPr>
        <xdr:cNvPr id="39" name="Immagin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944101" y="114301"/>
          <a:ext cx="209550" cy="209550"/>
        </a:xfrm>
        <a:prstGeom prst="rect">
          <a:avLst/>
        </a:prstGeom>
      </xdr:spPr>
    </xdr:pic>
    <xdr:clientData/>
  </xdr:twoCellAnchor>
  <xdr:twoCellAnchor editAs="oneCell">
    <xdr:from>
      <xdr:col>15</xdr:col>
      <xdr:colOff>28576</xdr:colOff>
      <xdr:row>0</xdr:row>
      <xdr:rowOff>123826</xdr:rowOff>
    </xdr:from>
    <xdr:to>
      <xdr:col>15</xdr:col>
      <xdr:colOff>238126</xdr:colOff>
      <xdr:row>0</xdr:row>
      <xdr:rowOff>333376</xdr:rowOff>
    </xdr:to>
    <xdr:pic>
      <xdr:nvPicPr>
        <xdr:cNvPr id="40" name="Immagin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592051" y="123826"/>
          <a:ext cx="209550" cy="209550"/>
        </a:xfrm>
        <a:prstGeom prst="rect">
          <a:avLst/>
        </a:prstGeom>
      </xdr:spPr>
    </xdr:pic>
    <xdr:clientData/>
  </xdr:twoCellAnchor>
  <xdr:twoCellAnchor editAs="oneCell">
    <xdr:from>
      <xdr:col>20</xdr:col>
      <xdr:colOff>1095375</xdr:colOff>
      <xdr:row>38</xdr:row>
      <xdr:rowOff>57150</xdr:rowOff>
    </xdr:from>
    <xdr:to>
      <xdr:col>20</xdr:col>
      <xdr:colOff>1276350</xdr:colOff>
      <xdr:row>38</xdr:row>
      <xdr:rowOff>238125</xdr:rowOff>
    </xdr:to>
    <xdr:pic>
      <xdr:nvPicPr>
        <xdr:cNvPr id="41" name="Immagin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4839950" y="11410950"/>
          <a:ext cx="180975" cy="180975"/>
        </a:xfrm>
        <a:prstGeom prst="rect">
          <a:avLst/>
        </a:prstGeom>
      </xdr:spPr>
    </xdr:pic>
    <xdr:clientData/>
  </xdr:twoCellAnchor>
  <xdr:twoCellAnchor editAs="oneCell">
    <xdr:from>
      <xdr:col>18</xdr:col>
      <xdr:colOff>28575</xdr:colOff>
      <xdr:row>39</xdr:row>
      <xdr:rowOff>57150</xdr:rowOff>
    </xdr:from>
    <xdr:to>
      <xdr:col>18</xdr:col>
      <xdr:colOff>209550</xdr:colOff>
      <xdr:row>39</xdr:row>
      <xdr:rowOff>238125</xdr:rowOff>
    </xdr:to>
    <xdr:pic>
      <xdr:nvPicPr>
        <xdr:cNvPr id="42" name="Immagin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2753975" y="11706225"/>
          <a:ext cx="180975" cy="180975"/>
        </a:xfrm>
        <a:prstGeom prst="rect">
          <a:avLst/>
        </a:prstGeom>
      </xdr:spPr>
    </xdr:pic>
    <xdr:clientData/>
  </xdr:twoCellAnchor>
  <xdr:twoCellAnchor editAs="oneCell">
    <xdr:from>
      <xdr:col>20</xdr:col>
      <xdr:colOff>1095375</xdr:colOff>
      <xdr:row>40</xdr:row>
      <xdr:rowOff>66675</xdr:rowOff>
    </xdr:from>
    <xdr:to>
      <xdr:col>20</xdr:col>
      <xdr:colOff>1276350</xdr:colOff>
      <xdr:row>40</xdr:row>
      <xdr:rowOff>247650</xdr:rowOff>
    </xdr:to>
    <xdr:pic>
      <xdr:nvPicPr>
        <xdr:cNvPr id="43" name="Immagin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4839950" y="12011025"/>
          <a:ext cx="180975" cy="180975"/>
        </a:xfrm>
        <a:prstGeom prst="rect">
          <a:avLst/>
        </a:prstGeom>
      </xdr:spPr>
    </xdr:pic>
    <xdr:clientData/>
  </xdr:twoCellAnchor>
  <xdr:twoCellAnchor editAs="oneCell">
    <xdr:from>
      <xdr:col>18</xdr:col>
      <xdr:colOff>19050</xdr:colOff>
      <xdr:row>41</xdr:row>
      <xdr:rowOff>47625</xdr:rowOff>
    </xdr:from>
    <xdr:to>
      <xdr:col>18</xdr:col>
      <xdr:colOff>200025</xdr:colOff>
      <xdr:row>41</xdr:row>
      <xdr:rowOff>228600</xdr:rowOff>
    </xdr:to>
    <xdr:pic>
      <xdr:nvPicPr>
        <xdr:cNvPr id="45" name="Immagin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2744450" y="12287250"/>
          <a:ext cx="180975" cy="180975"/>
        </a:xfrm>
        <a:prstGeom prst="rect">
          <a:avLst/>
        </a:prstGeom>
      </xdr:spPr>
    </xdr:pic>
    <xdr:clientData/>
  </xdr:twoCellAnchor>
  <xdr:twoCellAnchor editAs="oneCell">
    <xdr:from>
      <xdr:col>20</xdr:col>
      <xdr:colOff>1095375</xdr:colOff>
      <xdr:row>42</xdr:row>
      <xdr:rowOff>47625</xdr:rowOff>
    </xdr:from>
    <xdr:to>
      <xdr:col>20</xdr:col>
      <xdr:colOff>1276350</xdr:colOff>
      <xdr:row>42</xdr:row>
      <xdr:rowOff>228600</xdr:rowOff>
    </xdr:to>
    <xdr:pic>
      <xdr:nvPicPr>
        <xdr:cNvPr id="46" name="Immagine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4839950" y="12582525"/>
          <a:ext cx="180975" cy="180975"/>
        </a:xfrm>
        <a:prstGeom prst="rect">
          <a:avLst/>
        </a:prstGeom>
      </xdr:spPr>
    </xdr:pic>
    <xdr:clientData/>
  </xdr:twoCellAnchor>
  <xdr:twoCellAnchor editAs="oneCell">
    <xdr:from>
      <xdr:col>18</xdr:col>
      <xdr:colOff>19050</xdr:colOff>
      <xdr:row>43</xdr:row>
      <xdr:rowOff>57150</xdr:rowOff>
    </xdr:from>
    <xdr:to>
      <xdr:col>18</xdr:col>
      <xdr:colOff>200025</xdr:colOff>
      <xdr:row>43</xdr:row>
      <xdr:rowOff>238125</xdr:rowOff>
    </xdr:to>
    <xdr:pic>
      <xdr:nvPicPr>
        <xdr:cNvPr id="47" name="Immagine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2744450" y="12887325"/>
          <a:ext cx="180975" cy="180975"/>
        </a:xfrm>
        <a:prstGeom prst="rect">
          <a:avLst/>
        </a:prstGeom>
      </xdr:spPr>
    </xdr:pic>
    <xdr:clientData/>
  </xdr:twoCellAnchor>
  <xdr:twoCellAnchor editAs="oneCell">
    <xdr:from>
      <xdr:col>20</xdr:col>
      <xdr:colOff>1104900</xdr:colOff>
      <xdr:row>44</xdr:row>
      <xdr:rowOff>57150</xdr:rowOff>
    </xdr:from>
    <xdr:to>
      <xdr:col>20</xdr:col>
      <xdr:colOff>1285875</xdr:colOff>
      <xdr:row>44</xdr:row>
      <xdr:rowOff>238125</xdr:rowOff>
    </xdr:to>
    <xdr:pic>
      <xdr:nvPicPr>
        <xdr:cNvPr id="48" name="Immagine 47">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4849475" y="13182600"/>
          <a:ext cx="180975" cy="180975"/>
        </a:xfrm>
        <a:prstGeom prst="rect">
          <a:avLst/>
        </a:prstGeom>
      </xdr:spPr>
    </xdr:pic>
    <xdr:clientData/>
  </xdr:twoCellAnchor>
  <xdr:twoCellAnchor editAs="oneCell">
    <xdr:from>
      <xdr:col>18</xdr:col>
      <xdr:colOff>38100</xdr:colOff>
      <xdr:row>45</xdr:row>
      <xdr:rowOff>57150</xdr:rowOff>
    </xdr:from>
    <xdr:to>
      <xdr:col>18</xdr:col>
      <xdr:colOff>219075</xdr:colOff>
      <xdr:row>45</xdr:row>
      <xdr:rowOff>238125</xdr:rowOff>
    </xdr:to>
    <xdr:pic>
      <xdr:nvPicPr>
        <xdr:cNvPr id="49" name="Immagine 48">
          <a:extLst>
            <a:ext uri="{FF2B5EF4-FFF2-40B4-BE49-F238E27FC236}">
              <a16:creationId xmlns:a16="http://schemas.microsoft.com/office/drawing/2014/main" id="{00000000-0008-0000-0000-000031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2763500" y="13477875"/>
          <a:ext cx="180975" cy="180975"/>
        </a:xfrm>
        <a:prstGeom prst="rect">
          <a:avLst/>
        </a:prstGeom>
      </xdr:spPr>
    </xdr:pic>
    <xdr:clientData/>
  </xdr:twoCellAnchor>
  <xdr:twoCellAnchor editAs="oneCell">
    <xdr:from>
      <xdr:col>20</xdr:col>
      <xdr:colOff>1104900</xdr:colOff>
      <xdr:row>46</xdr:row>
      <xdr:rowOff>66675</xdr:rowOff>
    </xdr:from>
    <xdr:to>
      <xdr:col>20</xdr:col>
      <xdr:colOff>1285875</xdr:colOff>
      <xdr:row>46</xdr:row>
      <xdr:rowOff>247650</xdr:rowOff>
    </xdr:to>
    <xdr:pic>
      <xdr:nvPicPr>
        <xdr:cNvPr id="50" name="Immagine 49">
          <a:extLst>
            <a:ext uri="{FF2B5EF4-FFF2-40B4-BE49-F238E27FC236}">
              <a16:creationId xmlns:a16="http://schemas.microsoft.com/office/drawing/2014/main" id="{00000000-0008-0000-0000-00003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4849475" y="13782675"/>
          <a:ext cx="180975" cy="180975"/>
        </a:xfrm>
        <a:prstGeom prst="rect">
          <a:avLst/>
        </a:prstGeom>
      </xdr:spPr>
    </xdr:pic>
    <xdr:clientData/>
  </xdr:twoCellAnchor>
  <xdr:twoCellAnchor editAs="oneCell">
    <xdr:from>
      <xdr:col>18</xdr:col>
      <xdr:colOff>19050</xdr:colOff>
      <xdr:row>47</xdr:row>
      <xdr:rowOff>66675</xdr:rowOff>
    </xdr:from>
    <xdr:to>
      <xdr:col>18</xdr:col>
      <xdr:colOff>200025</xdr:colOff>
      <xdr:row>47</xdr:row>
      <xdr:rowOff>247650</xdr:rowOff>
    </xdr:to>
    <xdr:pic>
      <xdr:nvPicPr>
        <xdr:cNvPr id="51" name="Immagine 50">
          <a:extLst>
            <a:ext uri="{FF2B5EF4-FFF2-40B4-BE49-F238E27FC236}">
              <a16:creationId xmlns:a16="http://schemas.microsoft.com/office/drawing/2014/main" id="{00000000-0008-0000-0000-00003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2744450" y="14077950"/>
          <a:ext cx="180975" cy="180975"/>
        </a:xfrm>
        <a:prstGeom prst="rect">
          <a:avLst/>
        </a:prstGeom>
      </xdr:spPr>
    </xdr:pic>
    <xdr:clientData/>
  </xdr:twoCellAnchor>
  <xdr:oneCellAnchor>
    <xdr:from>
      <xdr:col>20</xdr:col>
      <xdr:colOff>1095375</xdr:colOff>
      <xdr:row>48</xdr:row>
      <xdr:rowOff>57150</xdr:rowOff>
    </xdr:from>
    <xdr:ext cx="180975" cy="180975"/>
    <xdr:pic>
      <xdr:nvPicPr>
        <xdr:cNvPr id="44" name="Immagin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314208" y="11455400"/>
          <a:ext cx="180975" cy="180975"/>
        </a:xfrm>
        <a:prstGeom prst="rect">
          <a:avLst/>
        </a:prstGeom>
      </xdr:spPr>
    </xdr:pic>
    <xdr:clientData/>
  </xdr:oneCellAnchor>
  <xdr:oneCellAnchor>
    <xdr:from>
      <xdr:col>18</xdr:col>
      <xdr:colOff>28575</xdr:colOff>
      <xdr:row>49</xdr:row>
      <xdr:rowOff>57150</xdr:rowOff>
    </xdr:from>
    <xdr:ext cx="180975" cy="180975"/>
    <xdr:pic>
      <xdr:nvPicPr>
        <xdr:cNvPr id="52" name="Immagine 51">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4146742" y="11751733"/>
          <a:ext cx="180975" cy="180975"/>
        </a:xfrm>
        <a:prstGeom prst="rect">
          <a:avLst/>
        </a:prstGeom>
      </xdr:spPr>
    </xdr:pic>
    <xdr:clientData/>
  </xdr:oneCellAnchor>
  <xdr:oneCellAnchor>
    <xdr:from>
      <xdr:col>20</xdr:col>
      <xdr:colOff>1095375</xdr:colOff>
      <xdr:row>50</xdr:row>
      <xdr:rowOff>66675</xdr:rowOff>
    </xdr:from>
    <xdr:ext cx="180975" cy="180975"/>
    <xdr:pic>
      <xdr:nvPicPr>
        <xdr:cNvPr id="53" name="Immagine 52">
          <a:extLst>
            <a:ext uri="{FF2B5EF4-FFF2-40B4-BE49-F238E27FC236}">
              <a16:creationId xmlns:a16="http://schemas.microsoft.com/office/drawing/2014/main" id="{00000000-0008-0000-0000-00003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314208" y="12057592"/>
          <a:ext cx="180975" cy="180975"/>
        </a:xfrm>
        <a:prstGeom prst="rect">
          <a:avLst/>
        </a:prstGeom>
      </xdr:spPr>
    </xdr:pic>
    <xdr:clientData/>
  </xdr:oneCellAnchor>
  <xdr:oneCellAnchor>
    <xdr:from>
      <xdr:col>18</xdr:col>
      <xdr:colOff>19050</xdr:colOff>
      <xdr:row>51</xdr:row>
      <xdr:rowOff>47625</xdr:rowOff>
    </xdr:from>
    <xdr:ext cx="180975" cy="180975"/>
    <xdr:pic>
      <xdr:nvPicPr>
        <xdr:cNvPr id="54" name="Immagine 53">
          <a:extLst>
            <a:ext uri="{FF2B5EF4-FFF2-40B4-BE49-F238E27FC236}">
              <a16:creationId xmlns:a16="http://schemas.microsoft.com/office/drawing/2014/main" id="{00000000-0008-0000-0000-00003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4137217" y="12334875"/>
          <a:ext cx="180975" cy="180975"/>
        </a:xfrm>
        <a:prstGeom prst="rect">
          <a:avLst/>
        </a:prstGeom>
      </xdr:spPr>
    </xdr:pic>
    <xdr:clientData/>
  </xdr:oneCellAnchor>
  <xdr:oneCellAnchor>
    <xdr:from>
      <xdr:col>20</xdr:col>
      <xdr:colOff>1095375</xdr:colOff>
      <xdr:row>52</xdr:row>
      <xdr:rowOff>47625</xdr:rowOff>
    </xdr:from>
    <xdr:ext cx="180975" cy="180975"/>
    <xdr:pic>
      <xdr:nvPicPr>
        <xdr:cNvPr id="55" name="Immagine 54">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314208" y="12631208"/>
          <a:ext cx="180975" cy="180975"/>
        </a:xfrm>
        <a:prstGeom prst="rect">
          <a:avLst/>
        </a:prstGeom>
      </xdr:spPr>
    </xdr:pic>
    <xdr:clientData/>
  </xdr:oneCellAnchor>
  <xdr:oneCellAnchor>
    <xdr:from>
      <xdr:col>18</xdr:col>
      <xdr:colOff>19050</xdr:colOff>
      <xdr:row>53</xdr:row>
      <xdr:rowOff>57150</xdr:rowOff>
    </xdr:from>
    <xdr:ext cx="180975" cy="180975"/>
    <xdr:pic>
      <xdr:nvPicPr>
        <xdr:cNvPr id="56" name="Immagine 55">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4137217" y="12937067"/>
          <a:ext cx="180975" cy="180975"/>
        </a:xfrm>
        <a:prstGeom prst="rect">
          <a:avLst/>
        </a:prstGeom>
      </xdr:spPr>
    </xdr:pic>
    <xdr:clientData/>
  </xdr:oneCellAnchor>
  <xdr:oneCellAnchor>
    <xdr:from>
      <xdr:col>20</xdr:col>
      <xdr:colOff>1104900</xdr:colOff>
      <xdr:row>54</xdr:row>
      <xdr:rowOff>57150</xdr:rowOff>
    </xdr:from>
    <xdr:ext cx="180975" cy="180975"/>
    <xdr:pic>
      <xdr:nvPicPr>
        <xdr:cNvPr id="57" name="Immagine 56">
          <a:extLst>
            <a:ext uri="{FF2B5EF4-FFF2-40B4-BE49-F238E27FC236}">
              <a16:creationId xmlns:a16="http://schemas.microsoft.com/office/drawing/2014/main" id="{00000000-0008-0000-0000-00003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323733" y="13233400"/>
          <a:ext cx="180975" cy="180975"/>
        </a:xfrm>
        <a:prstGeom prst="rect">
          <a:avLst/>
        </a:prstGeom>
      </xdr:spPr>
    </xdr:pic>
    <xdr:clientData/>
  </xdr:oneCellAnchor>
  <xdr:oneCellAnchor>
    <xdr:from>
      <xdr:col>18</xdr:col>
      <xdr:colOff>38100</xdr:colOff>
      <xdr:row>55</xdr:row>
      <xdr:rowOff>57150</xdr:rowOff>
    </xdr:from>
    <xdr:ext cx="180975" cy="180975"/>
    <xdr:pic>
      <xdr:nvPicPr>
        <xdr:cNvPr id="58" name="Immagine 57">
          <a:extLst>
            <a:ext uri="{FF2B5EF4-FFF2-40B4-BE49-F238E27FC236}">
              <a16:creationId xmlns:a16="http://schemas.microsoft.com/office/drawing/2014/main" id="{00000000-0008-0000-0000-00003A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4156267" y="13529733"/>
          <a:ext cx="180975" cy="180975"/>
        </a:xfrm>
        <a:prstGeom prst="rect">
          <a:avLst/>
        </a:prstGeom>
      </xdr:spPr>
    </xdr:pic>
    <xdr:clientData/>
  </xdr:oneCellAnchor>
  <xdr:oneCellAnchor>
    <xdr:from>
      <xdr:col>20</xdr:col>
      <xdr:colOff>1104900</xdr:colOff>
      <xdr:row>56</xdr:row>
      <xdr:rowOff>66675</xdr:rowOff>
    </xdr:from>
    <xdr:ext cx="180975" cy="180975"/>
    <xdr:pic>
      <xdr:nvPicPr>
        <xdr:cNvPr id="59" name="Immagine 58">
          <a:extLst>
            <a:ext uri="{FF2B5EF4-FFF2-40B4-BE49-F238E27FC236}">
              <a16:creationId xmlns:a16="http://schemas.microsoft.com/office/drawing/2014/main" id="{00000000-0008-0000-0000-00003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323733" y="13835592"/>
          <a:ext cx="180975" cy="180975"/>
        </a:xfrm>
        <a:prstGeom prst="rect">
          <a:avLst/>
        </a:prstGeom>
      </xdr:spPr>
    </xdr:pic>
    <xdr:clientData/>
  </xdr:oneCellAnchor>
  <xdr:oneCellAnchor>
    <xdr:from>
      <xdr:col>18</xdr:col>
      <xdr:colOff>19050</xdr:colOff>
      <xdr:row>57</xdr:row>
      <xdr:rowOff>66675</xdr:rowOff>
    </xdr:from>
    <xdr:ext cx="180975" cy="180975"/>
    <xdr:pic>
      <xdr:nvPicPr>
        <xdr:cNvPr id="60" name="Immagine 59">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4137217" y="14131925"/>
          <a:ext cx="180975" cy="180975"/>
        </a:xfrm>
        <a:prstGeom prst="rect">
          <a:avLst/>
        </a:prstGeom>
      </xdr:spPr>
    </xdr:pic>
    <xdr:clientData/>
  </xdr:oneCellAnchor>
  <xdr:oneCellAnchor>
    <xdr:from>
      <xdr:col>20</xdr:col>
      <xdr:colOff>1095375</xdr:colOff>
      <xdr:row>58</xdr:row>
      <xdr:rowOff>47625</xdr:rowOff>
    </xdr:from>
    <xdr:ext cx="180975" cy="180975"/>
    <xdr:pic>
      <xdr:nvPicPr>
        <xdr:cNvPr id="61" name="Immagine 60">
          <a:extLst>
            <a:ext uri="{FF2B5EF4-FFF2-40B4-BE49-F238E27FC236}">
              <a16:creationId xmlns:a16="http://schemas.microsoft.com/office/drawing/2014/main" id="{00000000-0008-0000-0000-00003D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314208" y="15594542"/>
          <a:ext cx="180975" cy="180975"/>
        </a:xfrm>
        <a:prstGeom prst="rect">
          <a:avLst/>
        </a:prstGeom>
      </xdr:spPr>
    </xdr:pic>
    <xdr:clientData/>
  </xdr:oneCellAnchor>
  <xdr:oneCellAnchor>
    <xdr:from>
      <xdr:col>18</xdr:col>
      <xdr:colOff>19050</xdr:colOff>
      <xdr:row>59</xdr:row>
      <xdr:rowOff>57150</xdr:rowOff>
    </xdr:from>
    <xdr:ext cx="180975" cy="180975"/>
    <xdr:pic>
      <xdr:nvPicPr>
        <xdr:cNvPr id="62" name="Immagine 61">
          <a:extLst>
            <a:ext uri="{FF2B5EF4-FFF2-40B4-BE49-F238E27FC236}">
              <a16:creationId xmlns:a16="http://schemas.microsoft.com/office/drawing/2014/main" id="{00000000-0008-0000-0000-00003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4137217" y="15900400"/>
          <a:ext cx="180975" cy="180975"/>
        </a:xfrm>
        <a:prstGeom prst="rect">
          <a:avLst/>
        </a:prstGeom>
      </xdr:spPr>
    </xdr:pic>
    <xdr:clientData/>
  </xdr:oneCellAnchor>
  <xdr:oneCellAnchor>
    <xdr:from>
      <xdr:col>20</xdr:col>
      <xdr:colOff>1104900</xdr:colOff>
      <xdr:row>60</xdr:row>
      <xdr:rowOff>57150</xdr:rowOff>
    </xdr:from>
    <xdr:ext cx="180975" cy="180975"/>
    <xdr:pic>
      <xdr:nvPicPr>
        <xdr:cNvPr id="63" name="Immagine 62">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323733" y="16196733"/>
          <a:ext cx="180975" cy="180975"/>
        </a:xfrm>
        <a:prstGeom prst="rect">
          <a:avLst/>
        </a:prstGeom>
      </xdr:spPr>
    </xdr:pic>
    <xdr:clientData/>
  </xdr:oneCellAnchor>
  <xdr:oneCellAnchor>
    <xdr:from>
      <xdr:col>18</xdr:col>
      <xdr:colOff>38100</xdr:colOff>
      <xdr:row>61</xdr:row>
      <xdr:rowOff>57150</xdr:rowOff>
    </xdr:from>
    <xdr:ext cx="180975" cy="180975"/>
    <xdr:pic>
      <xdr:nvPicPr>
        <xdr:cNvPr id="64" name="Immagine 63">
          <a:extLst>
            <a:ext uri="{FF2B5EF4-FFF2-40B4-BE49-F238E27FC236}">
              <a16:creationId xmlns:a16="http://schemas.microsoft.com/office/drawing/2014/main" id="{00000000-0008-0000-0000-000040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4156267" y="16493067"/>
          <a:ext cx="180975" cy="180975"/>
        </a:xfrm>
        <a:prstGeom prst="rect">
          <a:avLst/>
        </a:prstGeom>
      </xdr:spPr>
    </xdr:pic>
    <xdr:clientData/>
  </xdr:oneCellAnchor>
  <xdr:oneCellAnchor>
    <xdr:from>
      <xdr:col>20</xdr:col>
      <xdr:colOff>1104900</xdr:colOff>
      <xdr:row>62</xdr:row>
      <xdr:rowOff>66675</xdr:rowOff>
    </xdr:from>
    <xdr:ext cx="180975" cy="180975"/>
    <xdr:pic>
      <xdr:nvPicPr>
        <xdr:cNvPr id="65" name="Immagine 64">
          <a:extLst>
            <a:ext uri="{FF2B5EF4-FFF2-40B4-BE49-F238E27FC236}">
              <a16:creationId xmlns:a16="http://schemas.microsoft.com/office/drawing/2014/main" id="{00000000-0008-0000-0000-000041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323733" y="16798925"/>
          <a:ext cx="180975" cy="180975"/>
        </a:xfrm>
        <a:prstGeom prst="rect">
          <a:avLst/>
        </a:prstGeom>
      </xdr:spPr>
    </xdr:pic>
    <xdr:clientData/>
  </xdr:oneCellAnchor>
  <xdr:oneCellAnchor>
    <xdr:from>
      <xdr:col>18</xdr:col>
      <xdr:colOff>19050</xdr:colOff>
      <xdr:row>63</xdr:row>
      <xdr:rowOff>66675</xdr:rowOff>
    </xdr:from>
    <xdr:ext cx="180975" cy="180975"/>
    <xdr:pic>
      <xdr:nvPicPr>
        <xdr:cNvPr id="66" name="Immagine 65">
          <a:extLst>
            <a:ext uri="{FF2B5EF4-FFF2-40B4-BE49-F238E27FC236}">
              <a16:creationId xmlns:a16="http://schemas.microsoft.com/office/drawing/2014/main" id="{00000000-0008-0000-0000-00004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4137217" y="17095258"/>
          <a:ext cx="180975" cy="180975"/>
        </a:xfrm>
        <a:prstGeom prst="rect">
          <a:avLst/>
        </a:prstGeom>
      </xdr:spPr>
    </xdr:pic>
    <xdr:clientData/>
  </xdr:oneCellAnchor>
  <xdr:oneCellAnchor>
    <xdr:from>
      <xdr:col>20</xdr:col>
      <xdr:colOff>1095375</xdr:colOff>
      <xdr:row>64</xdr:row>
      <xdr:rowOff>47625</xdr:rowOff>
    </xdr:from>
    <xdr:ext cx="180975" cy="180975"/>
    <xdr:pic>
      <xdr:nvPicPr>
        <xdr:cNvPr id="67" name="Immagine 66">
          <a:extLst>
            <a:ext uri="{FF2B5EF4-FFF2-40B4-BE49-F238E27FC236}">
              <a16:creationId xmlns:a16="http://schemas.microsoft.com/office/drawing/2014/main" id="{00000000-0008-0000-0000-00004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314208" y="17372542"/>
          <a:ext cx="180975" cy="180975"/>
        </a:xfrm>
        <a:prstGeom prst="rect">
          <a:avLst/>
        </a:prstGeom>
      </xdr:spPr>
    </xdr:pic>
    <xdr:clientData/>
  </xdr:oneCellAnchor>
  <xdr:oneCellAnchor>
    <xdr:from>
      <xdr:col>18</xdr:col>
      <xdr:colOff>19050</xdr:colOff>
      <xdr:row>65</xdr:row>
      <xdr:rowOff>57150</xdr:rowOff>
    </xdr:from>
    <xdr:ext cx="180975" cy="180975"/>
    <xdr:pic>
      <xdr:nvPicPr>
        <xdr:cNvPr id="68" name="Immagine 67">
          <a:extLst>
            <a:ext uri="{FF2B5EF4-FFF2-40B4-BE49-F238E27FC236}">
              <a16:creationId xmlns:a16="http://schemas.microsoft.com/office/drawing/2014/main" id="{00000000-0008-0000-0000-00004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4137217" y="17678400"/>
          <a:ext cx="180975" cy="180975"/>
        </a:xfrm>
        <a:prstGeom prst="rect">
          <a:avLst/>
        </a:prstGeom>
      </xdr:spPr>
    </xdr:pic>
    <xdr:clientData/>
  </xdr:oneCellAnchor>
  <xdr:oneCellAnchor>
    <xdr:from>
      <xdr:col>20</xdr:col>
      <xdr:colOff>1104900</xdr:colOff>
      <xdr:row>66</xdr:row>
      <xdr:rowOff>57150</xdr:rowOff>
    </xdr:from>
    <xdr:ext cx="180975" cy="180975"/>
    <xdr:pic>
      <xdr:nvPicPr>
        <xdr:cNvPr id="69" name="Immagine 68">
          <a:extLst>
            <a:ext uri="{FF2B5EF4-FFF2-40B4-BE49-F238E27FC236}">
              <a16:creationId xmlns:a16="http://schemas.microsoft.com/office/drawing/2014/main" id="{00000000-0008-0000-0000-00004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323733" y="17974733"/>
          <a:ext cx="180975" cy="180975"/>
        </a:xfrm>
        <a:prstGeom prst="rect">
          <a:avLst/>
        </a:prstGeom>
      </xdr:spPr>
    </xdr:pic>
    <xdr:clientData/>
  </xdr:oneCellAnchor>
  <xdr:oneCellAnchor>
    <xdr:from>
      <xdr:col>18</xdr:col>
      <xdr:colOff>38100</xdr:colOff>
      <xdr:row>67</xdr:row>
      <xdr:rowOff>57150</xdr:rowOff>
    </xdr:from>
    <xdr:ext cx="180975" cy="180975"/>
    <xdr:pic>
      <xdr:nvPicPr>
        <xdr:cNvPr id="70" name="Immagine 69">
          <a:extLst>
            <a:ext uri="{FF2B5EF4-FFF2-40B4-BE49-F238E27FC236}">
              <a16:creationId xmlns:a16="http://schemas.microsoft.com/office/drawing/2014/main" id="{00000000-0008-0000-0000-00004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4156267" y="18271067"/>
          <a:ext cx="180975" cy="180975"/>
        </a:xfrm>
        <a:prstGeom prst="rect">
          <a:avLst/>
        </a:prstGeom>
      </xdr:spPr>
    </xdr:pic>
    <xdr:clientData/>
  </xdr:oneCellAnchor>
  <xdr:oneCellAnchor>
    <xdr:from>
      <xdr:col>20</xdr:col>
      <xdr:colOff>1104900</xdr:colOff>
      <xdr:row>68</xdr:row>
      <xdr:rowOff>66675</xdr:rowOff>
    </xdr:from>
    <xdr:ext cx="180975" cy="180975"/>
    <xdr:pic>
      <xdr:nvPicPr>
        <xdr:cNvPr id="71" name="Immagine 70">
          <a:extLst>
            <a:ext uri="{FF2B5EF4-FFF2-40B4-BE49-F238E27FC236}">
              <a16:creationId xmlns:a16="http://schemas.microsoft.com/office/drawing/2014/main" id="{00000000-0008-0000-0000-00004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323733" y="18576925"/>
          <a:ext cx="180975" cy="180975"/>
        </a:xfrm>
        <a:prstGeom prst="rect">
          <a:avLst/>
        </a:prstGeom>
      </xdr:spPr>
    </xdr:pic>
    <xdr:clientData/>
  </xdr:oneCellAnchor>
  <xdr:oneCellAnchor>
    <xdr:from>
      <xdr:col>18</xdr:col>
      <xdr:colOff>19050</xdr:colOff>
      <xdr:row>69</xdr:row>
      <xdr:rowOff>66675</xdr:rowOff>
    </xdr:from>
    <xdr:ext cx="180975" cy="180975"/>
    <xdr:pic>
      <xdr:nvPicPr>
        <xdr:cNvPr id="72" name="Immagine 71">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4137217" y="18873258"/>
          <a:ext cx="180975" cy="180975"/>
        </a:xfrm>
        <a:prstGeom prst="rect">
          <a:avLst/>
        </a:prstGeom>
      </xdr:spPr>
    </xdr:pic>
    <xdr:clientData/>
  </xdr:oneCellAnchor>
  <xdr:oneCellAnchor>
    <xdr:from>
      <xdr:col>20</xdr:col>
      <xdr:colOff>1095375</xdr:colOff>
      <xdr:row>70</xdr:row>
      <xdr:rowOff>47625</xdr:rowOff>
    </xdr:from>
    <xdr:ext cx="180975" cy="180975"/>
    <xdr:pic>
      <xdr:nvPicPr>
        <xdr:cNvPr id="73" name="Immagine 72">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314208" y="17372542"/>
          <a:ext cx="180975" cy="180975"/>
        </a:xfrm>
        <a:prstGeom prst="rect">
          <a:avLst/>
        </a:prstGeom>
      </xdr:spPr>
    </xdr:pic>
    <xdr:clientData/>
  </xdr:oneCellAnchor>
  <xdr:oneCellAnchor>
    <xdr:from>
      <xdr:col>18</xdr:col>
      <xdr:colOff>19050</xdr:colOff>
      <xdr:row>71</xdr:row>
      <xdr:rowOff>57150</xdr:rowOff>
    </xdr:from>
    <xdr:ext cx="180975" cy="180975"/>
    <xdr:pic>
      <xdr:nvPicPr>
        <xdr:cNvPr id="74" name="Immagine 73">
          <a:extLst>
            <a:ext uri="{FF2B5EF4-FFF2-40B4-BE49-F238E27FC236}">
              <a16:creationId xmlns:a16="http://schemas.microsoft.com/office/drawing/2014/main" id="{00000000-0008-0000-0000-00004A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4137217" y="17678400"/>
          <a:ext cx="180975" cy="180975"/>
        </a:xfrm>
        <a:prstGeom prst="rect">
          <a:avLst/>
        </a:prstGeom>
      </xdr:spPr>
    </xdr:pic>
    <xdr:clientData/>
  </xdr:oneCellAnchor>
  <xdr:oneCellAnchor>
    <xdr:from>
      <xdr:col>20</xdr:col>
      <xdr:colOff>1104900</xdr:colOff>
      <xdr:row>72</xdr:row>
      <xdr:rowOff>57150</xdr:rowOff>
    </xdr:from>
    <xdr:ext cx="180975" cy="180975"/>
    <xdr:pic>
      <xdr:nvPicPr>
        <xdr:cNvPr id="75" name="Immagine 74">
          <a:extLst>
            <a:ext uri="{FF2B5EF4-FFF2-40B4-BE49-F238E27FC236}">
              <a16:creationId xmlns:a16="http://schemas.microsoft.com/office/drawing/2014/main" id="{00000000-0008-0000-0000-00004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323733" y="17974733"/>
          <a:ext cx="180975" cy="180975"/>
        </a:xfrm>
        <a:prstGeom prst="rect">
          <a:avLst/>
        </a:prstGeom>
      </xdr:spPr>
    </xdr:pic>
    <xdr:clientData/>
  </xdr:oneCellAnchor>
  <xdr:oneCellAnchor>
    <xdr:from>
      <xdr:col>18</xdr:col>
      <xdr:colOff>38100</xdr:colOff>
      <xdr:row>73</xdr:row>
      <xdr:rowOff>57150</xdr:rowOff>
    </xdr:from>
    <xdr:ext cx="180975" cy="180975"/>
    <xdr:pic>
      <xdr:nvPicPr>
        <xdr:cNvPr id="76" name="Immagine 75">
          <a:extLst>
            <a:ext uri="{FF2B5EF4-FFF2-40B4-BE49-F238E27FC236}">
              <a16:creationId xmlns:a16="http://schemas.microsoft.com/office/drawing/2014/main" id="{00000000-0008-0000-0000-00004C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4156267" y="18271067"/>
          <a:ext cx="180975" cy="180975"/>
        </a:xfrm>
        <a:prstGeom prst="rect">
          <a:avLst/>
        </a:prstGeom>
      </xdr:spPr>
    </xdr:pic>
    <xdr:clientData/>
  </xdr:oneCellAnchor>
  <xdr:oneCellAnchor>
    <xdr:from>
      <xdr:col>20</xdr:col>
      <xdr:colOff>1104900</xdr:colOff>
      <xdr:row>74</xdr:row>
      <xdr:rowOff>66675</xdr:rowOff>
    </xdr:from>
    <xdr:ext cx="180975" cy="180975"/>
    <xdr:pic>
      <xdr:nvPicPr>
        <xdr:cNvPr id="77" name="Immagine 76">
          <a:extLst>
            <a:ext uri="{FF2B5EF4-FFF2-40B4-BE49-F238E27FC236}">
              <a16:creationId xmlns:a16="http://schemas.microsoft.com/office/drawing/2014/main" id="{00000000-0008-0000-0000-00004D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323733" y="18576925"/>
          <a:ext cx="180975" cy="180975"/>
        </a:xfrm>
        <a:prstGeom prst="rect">
          <a:avLst/>
        </a:prstGeom>
      </xdr:spPr>
    </xdr:pic>
    <xdr:clientData/>
  </xdr:oneCellAnchor>
  <xdr:oneCellAnchor>
    <xdr:from>
      <xdr:col>18</xdr:col>
      <xdr:colOff>19050</xdr:colOff>
      <xdr:row>75</xdr:row>
      <xdr:rowOff>66675</xdr:rowOff>
    </xdr:from>
    <xdr:ext cx="180975" cy="180975"/>
    <xdr:pic>
      <xdr:nvPicPr>
        <xdr:cNvPr id="78" name="Immagine 77">
          <a:extLst>
            <a:ext uri="{FF2B5EF4-FFF2-40B4-BE49-F238E27FC236}">
              <a16:creationId xmlns:a16="http://schemas.microsoft.com/office/drawing/2014/main" id="{00000000-0008-0000-0000-00004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4137217" y="18873258"/>
          <a:ext cx="180975" cy="180975"/>
        </a:xfrm>
        <a:prstGeom prst="rect">
          <a:avLst/>
        </a:prstGeom>
      </xdr:spPr>
    </xdr:pic>
    <xdr:clientData/>
  </xdr:oneCellAnchor>
  <xdr:oneCellAnchor>
    <xdr:from>
      <xdr:col>20</xdr:col>
      <xdr:colOff>1095375</xdr:colOff>
      <xdr:row>76</xdr:row>
      <xdr:rowOff>47625</xdr:rowOff>
    </xdr:from>
    <xdr:ext cx="180975" cy="180975"/>
    <xdr:pic>
      <xdr:nvPicPr>
        <xdr:cNvPr id="79" name="Immagine 78">
          <a:extLst>
            <a:ext uri="{FF2B5EF4-FFF2-40B4-BE49-F238E27FC236}">
              <a16:creationId xmlns:a16="http://schemas.microsoft.com/office/drawing/2014/main" id="{00000000-0008-0000-0000-00004F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314208" y="19150542"/>
          <a:ext cx="180975" cy="180975"/>
        </a:xfrm>
        <a:prstGeom prst="rect">
          <a:avLst/>
        </a:prstGeom>
      </xdr:spPr>
    </xdr:pic>
    <xdr:clientData/>
  </xdr:oneCellAnchor>
  <xdr:oneCellAnchor>
    <xdr:from>
      <xdr:col>18</xdr:col>
      <xdr:colOff>19050</xdr:colOff>
      <xdr:row>77</xdr:row>
      <xdr:rowOff>57150</xdr:rowOff>
    </xdr:from>
    <xdr:ext cx="180975" cy="180975"/>
    <xdr:pic>
      <xdr:nvPicPr>
        <xdr:cNvPr id="80" name="Immagine 79">
          <a:extLst>
            <a:ext uri="{FF2B5EF4-FFF2-40B4-BE49-F238E27FC236}">
              <a16:creationId xmlns:a16="http://schemas.microsoft.com/office/drawing/2014/main" id="{00000000-0008-0000-0000-000050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4137217" y="19456400"/>
          <a:ext cx="180975" cy="180975"/>
        </a:xfrm>
        <a:prstGeom prst="rect">
          <a:avLst/>
        </a:prstGeom>
      </xdr:spPr>
    </xdr:pic>
    <xdr:clientData/>
  </xdr:oneCellAnchor>
  <xdr:oneCellAnchor>
    <xdr:from>
      <xdr:col>20</xdr:col>
      <xdr:colOff>1104900</xdr:colOff>
      <xdr:row>78</xdr:row>
      <xdr:rowOff>57150</xdr:rowOff>
    </xdr:from>
    <xdr:ext cx="180975" cy="180975"/>
    <xdr:pic>
      <xdr:nvPicPr>
        <xdr:cNvPr id="81" name="Immagine 80">
          <a:extLst>
            <a:ext uri="{FF2B5EF4-FFF2-40B4-BE49-F238E27FC236}">
              <a16:creationId xmlns:a16="http://schemas.microsoft.com/office/drawing/2014/main" id="{00000000-0008-0000-0000-000051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323733" y="19752733"/>
          <a:ext cx="180975" cy="180975"/>
        </a:xfrm>
        <a:prstGeom prst="rect">
          <a:avLst/>
        </a:prstGeom>
      </xdr:spPr>
    </xdr:pic>
    <xdr:clientData/>
  </xdr:oneCellAnchor>
  <xdr:oneCellAnchor>
    <xdr:from>
      <xdr:col>18</xdr:col>
      <xdr:colOff>38100</xdr:colOff>
      <xdr:row>79</xdr:row>
      <xdr:rowOff>57150</xdr:rowOff>
    </xdr:from>
    <xdr:ext cx="180975" cy="180975"/>
    <xdr:pic>
      <xdr:nvPicPr>
        <xdr:cNvPr id="82" name="Immagine 81">
          <a:extLst>
            <a:ext uri="{FF2B5EF4-FFF2-40B4-BE49-F238E27FC236}">
              <a16:creationId xmlns:a16="http://schemas.microsoft.com/office/drawing/2014/main" id="{00000000-0008-0000-0000-00005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4156267" y="20049067"/>
          <a:ext cx="180975" cy="180975"/>
        </a:xfrm>
        <a:prstGeom prst="rect">
          <a:avLst/>
        </a:prstGeom>
      </xdr:spPr>
    </xdr:pic>
    <xdr:clientData/>
  </xdr:oneCellAnchor>
  <xdr:oneCellAnchor>
    <xdr:from>
      <xdr:col>20</xdr:col>
      <xdr:colOff>1104900</xdr:colOff>
      <xdr:row>80</xdr:row>
      <xdr:rowOff>66675</xdr:rowOff>
    </xdr:from>
    <xdr:ext cx="180975" cy="180975"/>
    <xdr:pic>
      <xdr:nvPicPr>
        <xdr:cNvPr id="83" name="Immagine 82">
          <a:extLst>
            <a:ext uri="{FF2B5EF4-FFF2-40B4-BE49-F238E27FC236}">
              <a16:creationId xmlns:a16="http://schemas.microsoft.com/office/drawing/2014/main" id="{00000000-0008-0000-0000-00005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323733" y="20354925"/>
          <a:ext cx="180975" cy="180975"/>
        </a:xfrm>
        <a:prstGeom prst="rect">
          <a:avLst/>
        </a:prstGeom>
      </xdr:spPr>
    </xdr:pic>
    <xdr:clientData/>
  </xdr:oneCellAnchor>
  <xdr:oneCellAnchor>
    <xdr:from>
      <xdr:col>18</xdr:col>
      <xdr:colOff>19050</xdr:colOff>
      <xdr:row>81</xdr:row>
      <xdr:rowOff>66675</xdr:rowOff>
    </xdr:from>
    <xdr:ext cx="180975" cy="180975"/>
    <xdr:pic>
      <xdr:nvPicPr>
        <xdr:cNvPr id="84" name="Immagine 83">
          <a:extLst>
            <a:ext uri="{FF2B5EF4-FFF2-40B4-BE49-F238E27FC236}">
              <a16:creationId xmlns:a16="http://schemas.microsoft.com/office/drawing/2014/main" id="{00000000-0008-0000-0000-00005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4137217" y="20651258"/>
          <a:ext cx="180975" cy="180975"/>
        </a:xfrm>
        <a:prstGeom prst="rect">
          <a:avLst/>
        </a:prstGeom>
      </xdr:spPr>
    </xdr:pic>
    <xdr:clientData/>
  </xdr:oneCellAnchor>
  <xdr:oneCellAnchor>
    <xdr:from>
      <xdr:col>33</xdr:col>
      <xdr:colOff>140276</xdr:colOff>
      <xdr:row>8</xdr:row>
      <xdr:rowOff>78580</xdr:rowOff>
    </xdr:from>
    <xdr:ext cx="152400" cy="152400"/>
    <xdr:pic>
      <xdr:nvPicPr>
        <xdr:cNvPr id="85" name="Immagine 84">
          <a:extLst>
            <a:ext uri="{FF2B5EF4-FFF2-40B4-BE49-F238E27FC236}">
              <a16:creationId xmlns:a16="http://schemas.microsoft.com/office/drawing/2014/main" id="{00000000-0008-0000-0000-00005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181126" y="2574130"/>
          <a:ext cx="152400" cy="152400"/>
        </a:xfrm>
        <a:prstGeom prst="rect">
          <a:avLst/>
        </a:prstGeom>
      </xdr:spPr>
    </xdr:pic>
    <xdr:clientData/>
  </xdr:oneCellAnchor>
  <xdr:oneCellAnchor>
    <xdr:from>
      <xdr:col>39</xdr:col>
      <xdr:colOff>287617</xdr:colOff>
      <xdr:row>8</xdr:row>
      <xdr:rowOff>73802</xdr:rowOff>
    </xdr:from>
    <xdr:ext cx="152400" cy="152400"/>
    <xdr:pic>
      <xdr:nvPicPr>
        <xdr:cNvPr id="86" name="Immagine 85">
          <a:extLst>
            <a:ext uri="{FF2B5EF4-FFF2-40B4-BE49-F238E27FC236}">
              <a16:creationId xmlns:a16="http://schemas.microsoft.com/office/drawing/2014/main" id="{00000000-0008-0000-0000-00005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986067" y="2569352"/>
          <a:ext cx="152400" cy="152400"/>
        </a:xfrm>
        <a:prstGeom prst="rect">
          <a:avLst/>
        </a:prstGeom>
      </xdr:spPr>
    </xdr:pic>
    <xdr:clientData/>
  </xdr:oneCellAnchor>
  <mc:AlternateContent xmlns:mc="http://schemas.openxmlformats.org/markup-compatibility/2006">
    <mc:Choice xmlns:a14="http://schemas.microsoft.com/office/drawing/2010/main" Requires="a14">
      <xdr:twoCellAnchor>
        <xdr:from>
          <xdr:col>16</xdr:col>
          <xdr:colOff>19050</xdr:colOff>
          <xdr:row>1</xdr:row>
          <xdr:rowOff>19050</xdr:rowOff>
        </xdr:from>
        <xdr:to>
          <xdr:col>16</xdr:col>
          <xdr:colOff>447675</xdr:colOff>
          <xdr:row>1</xdr:row>
          <xdr:rowOff>276225</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19050</xdr:rowOff>
        </xdr:from>
        <xdr:to>
          <xdr:col>0</xdr:col>
          <xdr:colOff>457200</xdr:colOff>
          <xdr:row>1</xdr:row>
          <xdr:rowOff>276225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19050</xdr:rowOff>
        </xdr:from>
        <xdr:to>
          <xdr:col>0</xdr:col>
          <xdr:colOff>457200</xdr:colOff>
          <xdr:row>2</xdr:row>
          <xdr:rowOff>266700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2</xdr:row>
          <xdr:rowOff>19050</xdr:rowOff>
        </xdr:from>
        <xdr:to>
          <xdr:col>16</xdr:col>
          <xdr:colOff>457200</xdr:colOff>
          <xdr:row>2</xdr:row>
          <xdr:rowOff>266700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xdr:row>
          <xdr:rowOff>28575</xdr:rowOff>
        </xdr:from>
        <xdr:to>
          <xdr:col>0</xdr:col>
          <xdr:colOff>457200</xdr:colOff>
          <xdr:row>3</xdr:row>
          <xdr:rowOff>276225</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3</xdr:row>
          <xdr:rowOff>28575</xdr:rowOff>
        </xdr:from>
        <xdr:to>
          <xdr:col>16</xdr:col>
          <xdr:colOff>457200</xdr:colOff>
          <xdr:row>3</xdr:row>
          <xdr:rowOff>276225</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xdr:row>
          <xdr:rowOff>28575</xdr:rowOff>
        </xdr:from>
        <xdr:to>
          <xdr:col>0</xdr:col>
          <xdr:colOff>447675</xdr:colOff>
          <xdr:row>4</xdr:row>
          <xdr:rowOff>266700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4</xdr:row>
          <xdr:rowOff>28575</xdr:rowOff>
        </xdr:from>
        <xdr:to>
          <xdr:col>16</xdr:col>
          <xdr:colOff>447675</xdr:colOff>
          <xdr:row>4</xdr:row>
          <xdr:rowOff>266700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5</xdr:row>
          <xdr:rowOff>28575</xdr:rowOff>
        </xdr:from>
        <xdr:to>
          <xdr:col>0</xdr:col>
          <xdr:colOff>447675</xdr:colOff>
          <xdr:row>5</xdr:row>
          <xdr:rowOff>266700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5</xdr:row>
          <xdr:rowOff>28575</xdr:rowOff>
        </xdr:from>
        <xdr:to>
          <xdr:col>16</xdr:col>
          <xdr:colOff>447675</xdr:colOff>
          <xdr:row>5</xdr:row>
          <xdr:rowOff>266700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xdr:row>
          <xdr:rowOff>38100</xdr:rowOff>
        </xdr:from>
        <xdr:to>
          <xdr:col>0</xdr:col>
          <xdr:colOff>447675</xdr:colOff>
          <xdr:row>6</xdr:row>
          <xdr:rowOff>266700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6</xdr:row>
          <xdr:rowOff>38100</xdr:rowOff>
        </xdr:from>
        <xdr:to>
          <xdr:col>16</xdr:col>
          <xdr:colOff>447675</xdr:colOff>
          <xdr:row>6</xdr:row>
          <xdr:rowOff>266700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xdr:row>
          <xdr:rowOff>19050</xdr:rowOff>
        </xdr:from>
        <xdr:to>
          <xdr:col>0</xdr:col>
          <xdr:colOff>447675</xdr:colOff>
          <xdr:row>7</xdr:row>
          <xdr:rowOff>266700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xdr:row>
          <xdr:rowOff>19050</xdr:rowOff>
        </xdr:from>
        <xdr:to>
          <xdr:col>0</xdr:col>
          <xdr:colOff>447675</xdr:colOff>
          <xdr:row>8</xdr:row>
          <xdr:rowOff>266700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19050</xdr:rowOff>
        </xdr:from>
        <xdr:to>
          <xdr:col>0</xdr:col>
          <xdr:colOff>447675</xdr:colOff>
          <xdr:row>9</xdr:row>
          <xdr:rowOff>266700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Pulsante 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19050</xdr:rowOff>
        </xdr:from>
        <xdr:to>
          <xdr:col>0</xdr:col>
          <xdr:colOff>447675</xdr:colOff>
          <xdr:row>9</xdr:row>
          <xdr:rowOff>266700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10</xdr:row>
          <xdr:rowOff>19050</xdr:rowOff>
        </xdr:from>
        <xdr:to>
          <xdr:col>0</xdr:col>
          <xdr:colOff>447675</xdr:colOff>
          <xdr:row>10</xdr:row>
          <xdr:rowOff>266700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11</xdr:row>
          <xdr:rowOff>19050</xdr:rowOff>
        </xdr:from>
        <xdr:to>
          <xdr:col>0</xdr:col>
          <xdr:colOff>447675</xdr:colOff>
          <xdr:row>11</xdr:row>
          <xdr:rowOff>266700</xdr:rowOff>
        </xdr:to>
        <xdr:sp macro="" textlink="">
          <xdr:nvSpPr>
            <xdr:cNvPr id="1077" name="Button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12</xdr:row>
          <xdr:rowOff>19050</xdr:rowOff>
        </xdr:from>
        <xdr:to>
          <xdr:col>0</xdr:col>
          <xdr:colOff>447675</xdr:colOff>
          <xdr:row>12</xdr:row>
          <xdr:rowOff>266700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19050</xdr:rowOff>
        </xdr:from>
        <xdr:to>
          <xdr:col>0</xdr:col>
          <xdr:colOff>447675</xdr:colOff>
          <xdr:row>13</xdr:row>
          <xdr:rowOff>266700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14</xdr:row>
          <xdr:rowOff>19050</xdr:rowOff>
        </xdr:from>
        <xdr:to>
          <xdr:col>0</xdr:col>
          <xdr:colOff>447675</xdr:colOff>
          <xdr:row>14</xdr:row>
          <xdr:rowOff>266700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xdr:row>
          <xdr:rowOff>19050</xdr:rowOff>
        </xdr:from>
        <xdr:to>
          <xdr:col>0</xdr:col>
          <xdr:colOff>447675</xdr:colOff>
          <xdr:row>15</xdr:row>
          <xdr:rowOff>266700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16</xdr:row>
          <xdr:rowOff>19050</xdr:rowOff>
        </xdr:from>
        <xdr:to>
          <xdr:col>0</xdr:col>
          <xdr:colOff>447675</xdr:colOff>
          <xdr:row>16</xdr:row>
          <xdr:rowOff>266700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xdr:row>
          <xdr:rowOff>19050</xdr:rowOff>
        </xdr:from>
        <xdr:to>
          <xdr:col>0</xdr:col>
          <xdr:colOff>447675</xdr:colOff>
          <xdr:row>17</xdr:row>
          <xdr:rowOff>266700</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18</xdr:row>
          <xdr:rowOff>19050</xdr:rowOff>
        </xdr:from>
        <xdr:to>
          <xdr:col>0</xdr:col>
          <xdr:colOff>447675</xdr:colOff>
          <xdr:row>18</xdr:row>
          <xdr:rowOff>266700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xdr:row>
          <xdr:rowOff>19050</xdr:rowOff>
        </xdr:from>
        <xdr:to>
          <xdr:col>0</xdr:col>
          <xdr:colOff>447675</xdr:colOff>
          <xdr:row>19</xdr:row>
          <xdr:rowOff>266700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20</xdr:row>
          <xdr:rowOff>19050</xdr:rowOff>
        </xdr:from>
        <xdr:to>
          <xdr:col>0</xdr:col>
          <xdr:colOff>447675</xdr:colOff>
          <xdr:row>20</xdr:row>
          <xdr:rowOff>266700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21</xdr:row>
          <xdr:rowOff>19050</xdr:rowOff>
        </xdr:from>
        <xdr:to>
          <xdr:col>0</xdr:col>
          <xdr:colOff>447675</xdr:colOff>
          <xdr:row>21</xdr:row>
          <xdr:rowOff>266700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22</xdr:row>
          <xdr:rowOff>19050</xdr:rowOff>
        </xdr:from>
        <xdr:to>
          <xdr:col>0</xdr:col>
          <xdr:colOff>447675</xdr:colOff>
          <xdr:row>22</xdr:row>
          <xdr:rowOff>266700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23</xdr:row>
          <xdr:rowOff>19050</xdr:rowOff>
        </xdr:from>
        <xdr:to>
          <xdr:col>0</xdr:col>
          <xdr:colOff>447675</xdr:colOff>
          <xdr:row>23</xdr:row>
          <xdr:rowOff>266700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24</xdr:row>
          <xdr:rowOff>19050</xdr:rowOff>
        </xdr:from>
        <xdr:to>
          <xdr:col>0</xdr:col>
          <xdr:colOff>447675</xdr:colOff>
          <xdr:row>24</xdr:row>
          <xdr:rowOff>266700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25</xdr:row>
          <xdr:rowOff>19050</xdr:rowOff>
        </xdr:from>
        <xdr:to>
          <xdr:col>0</xdr:col>
          <xdr:colOff>447675</xdr:colOff>
          <xdr:row>25</xdr:row>
          <xdr:rowOff>266700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27</xdr:row>
          <xdr:rowOff>19050</xdr:rowOff>
        </xdr:from>
        <xdr:to>
          <xdr:col>0</xdr:col>
          <xdr:colOff>447675</xdr:colOff>
          <xdr:row>27</xdr:row>
          <xdr:rowOff>266700</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27</a:t>
              </a:r>
            </a:p>
            <a:p>
              <a:pPr algn="ctr" rtl="0">
                <a:defRPr sz="1000"/>
              </a:pPr>
              <a:endParaRPr lang="it-IT" sz="1100" b="1" i="0" u="none" strike="noStrike" baseline="0">
                <a:solidFill>
                  <a:srgbClr val="000000"/>
                </a:solidFill>
                <a:latin typeface="Calibri"/>
                <a:cs typeface="Calibri"/>
              </a:endParaRP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28</xdr:row>
          <xdr:rowOff>19050</xdr:rowOff>
        </xdr:from>
        <xdr:to>
          <xdr:col>0</xdr:col>
          <xdr:colOff>447675</xdr:colOff>
          <xdr:row>28</xdr:row>
          <xdr:rowOff>266700</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28</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29</xdr:row>
          <xdr:rowOff>19050</xdr:rowOff>
        </xdr:from>
        <xdr:to>
          <xdr:col>0</xdr:col>
          <xdr:colOff>447675</xdr:colOff>
          <xdr:row>29</xdr:row>
          <xdr:rowOff>266700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30</xdr:row>
          <xdr:rowOff>19050</xdr:rowOff>
        </xdr:from>
        <xdr:to>
          <xdr:col>0</xdr:col>
          <xdr:colOff>447675</xdr:colOff>
          <xdr:row>30</xdr:row>
          <xdr:rowOff>266700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30</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31</xdr:row>
          <xdr:rowOff>19050</xdr:rowOff>
        </xdr:from>
        <xdr:to>
          <xdr:col>0</xdr:col>
          <xdr:colOff>447675</xdr:colOff>
          <xdr:row>31</xdr:row>
          <xdr:rowOff>266700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32</xdr:row>
          <xdr:rowOff>19050</xdr:rowOff>
        </xdr:from>
        <xdr:to>
          <xdr:col>0</xdr:col>
          <xdr:colOff>447675</xdr:colOff>
          <xdr:row>32</xdr:row>
          <xdr:rowOff>266700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33</xdr:row>
          <xdr:rowOff>19050</xdr:rowOff>
        </xdr:from>
        <xdr:to>
          <xdr:col>0</xdr:col>
          <xdr:colOff>447675</xdr:colOff>
          <xdr:row>33</xdr:row>
          <xdr:rowOff>266700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34</xdr:row>
          <xdr:rowOff>19050</xdr:rowOff>
        </xdr:from>
        <xdr:to>
          <xdr:col>0</xdr:col>
          <xdr:colOff>447675</xdr:colOff>
          <xdr:row>34</xdr:row>
          <xdr:rowOff>266700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35</xdr:row>
          <xdr:rowOff>19050</xdr:rowOff>
        </xdr:from>
        <xdr:to>
          <xdr:col>0</xdr:col>
          <xdr:colOff>447675</xdr:colOff>
          <xdr:row>35</xdr:row>
          <xdr:rowOff>266700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36</xdr:row>
          <xdr:rowOff>19050</xdr:rowOff>
        </xdr:from>
        <xdr:to>
          <xdr:col>0</xdr:col>
          <xdr:colOff>447675</xdr:colOff>
          <xdr:row>36</xdr:row>
          <xdr:rowOff>266700</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19050</xdr:rowOff>
        </xdr:from>
        <xdr:to>
          <xdr:col>0</xdr:col>
          <xdr:colOff>447675</xdr:colOff>
          <xdr:row>37</xdr:row>
          <xdr:rowOff>266700</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447675</xdr:colOff>
          <xdr:row>38</xdr:row>
          <xdr:rowOff>266700</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39</xdr:row>
          <xdr:rowOff>19050</xdr:rowOff>
        </xdr:from>
        <xdr:to>
          <xdr:col>0</xdr:col>
          <xdr:colOff>447675</xdr:colOff>
          <xdr:row>39</xdr:row>
          <xdr:rowOff>266700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39</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447675</xdr:colOff>
          <xdr:row>40</xdr:row>
          <xdr:rowOff>266700</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40</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447675</xdr:colOff>
          <xdr:row>41</xdr:row>
          <xdr:rowOff>266700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42</xdr:row>
          <xdr:rowOff>19050</xdr:rowOff>
        </xdr:from>
        <xdr:to>
          <xdr:col>0</xdr:col>
          <xdr:colOff>447675</xdr:colOff>
          <xdr:row>42</xdr:row>
          <xdr:rowOff>266700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43</xdr:row>
          <xdr:rowOff>19050</xdr:rowOff>
        </xdr:from>
        <xdr:to>
          <xdr:col>0</xdr:col>
          <xdr:colOff>447675</xdr:colOff>
          <xdr:row>43</xdr:row>
          <xdr:rowOff>266700</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000-00005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44</xdr:row>
          <xdr:rowOff>19050</xdr:rowOff>
        </xdr:from>
        <xdr:to>
          <xdr:col>0</xdr:col>
          <xdr:colOff>447675</xdr:colOff>
          <xdr:row>44</xdr:row>
          <xdr:rowOff>266700</xdr:rowOff>
        </xdr:to>
        <xdr:sp macro="" textlink="">
          <xdr:nvSpPr>
            <xdr:cNvPr id="1110" name="Button 86"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45</xdr:row>
          <xdr:rowOff>19050</xdr:rowOff>
        </xdr:from>
        <xdr:to>
          <xdr:col>0</xdr:col>
          <xdr:colOff>447675</xdr:colOff>
          <xdr:row>45</xdr:row>
          <xdr:rowOff>266700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45</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46</xdr:row>
          <xdr:rowOff>19050</xdr:rowOff>
        </xdr:from>
        <xdr:to>
          <xdr:col>0</xdr:col>
          <xdr:colOff>447675</xdr:colOff>
          <xdr:row>46</xdr:row>
          <xdr:rowOff>266700</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47</xdr:row>
          <xdr:rowOff>19050</xdr:rowOff>
        </xdr:from>
        <xdr:to>
          <xdr:col>0</xdr:col>
          <xdr:colOff>447675</xdr:colOff>
          <xdr:row>47</xdr:row>
          <xdr:rowOff>266700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48</xdr:row>
          <xdr:rowOff>19050</xdr:rowOff>
        </xdr:from>
        <xdr:to>
          <xdr:col>0</xdr:col>
          <xdr:colOff>447675</xdr:colOff>
          <xdr:row>48</xdr:row>
          <xdr:rowOff>266700</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48</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49</xdr:row>
          <xdr:rowOff>19050</xdr:rowOff>
        </xdr:from>
        <xdr:to>
          <xdr:col>0</xdr:col>
          <xdr:colOff>447675</xdr:colOff>
          <xdr:row>49</xdr:row>
          <xdr:rowOff>266700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49</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53</xdr:row>
          <xdr:rowOff>19050</xdr:rowOff>
        </xdr:from>
        <xdr:to>
          <xdr:col>0</xdr:col>
          <xdr:colOff>447675</xdr:colOff>
          <xdr:row>53</xdr:row>
          <xdr:rowOff>266700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53</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54</xdr:row>
          <xdr:rowOff>19050</xdr:rowOff>
        </xdr:from>
        <xdr:to>
          <xdr:col>0</xdr:col>
          <xdr:colOff>447675</xdr:colOff>
          <xdr:row>54</xdr:row>
          <xdr:rowOff>266700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54</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55</xdr:row>
          <xdr:rowOff>19050</xdr:rowOff>
        </xdr:from>
        <xdr:to>
          <xdr:col>0</xdr:col>
          <xdr:colOff>447675</xdr:colOff>
          <xdr:row>55</xdr:row>
          <xdr:rowOff>266700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56</xdr:row>
          <xdr:rowOff>19050</xdr:rowOff>
        </xdr:from>
        <xdr:to>
          <xdr:col>0</xdr:col>
          <xdr:colOff>447675</xdr:colOff>
          <xdr:row>56</xdr:row>
          <xdr:rowOff>266700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57</xdr:row>
          <xdr:rowOff>19050</xdr:rowOff>
        </xdr:from>
        <xdr:to>
          <xdr:col>0</xdr:col>
          <xdr:colOff>447675</xdr:colOff>
          <xdr:row>57</xdr:row>
          <xdr:rowOff>266700</xdr:rowOff>
        </xdr:to>
        <xdr:sp macro="" textlink="">
          <xdr:nvSpPr>
            <xdr:cNvPr id="1123" name="Button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58</xdr:row>
          <xdr:rowOff>19050</xdr:rowOff>
        </xdr:from>
        <xdr:to>
          <xdr:col>0</xdr:col>
          <xdr:colOff>447675</xdr:colOff>
          <xdr:row>58</xdr:row>
          <xdr:rowOff>266700</xdr:rowOff>
        </xdr:to>
        <xdr:sp macro="" textlink="">
          <xdr:nvSpPr>
            <xdr:cNvPr id="1124" name="Button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59</xdr:row>
          <xdr:rowOff>19050</xdr:rowOff>
        </xdr:from>
        <xdr:to>
          <xdr:col>0</xdr:col>
          <xdr:colOff>447675</xdr:colOff>
          <xdr:row>59</xdr:row>
          <xdr:rowOff>266700</xdr:rowOff>
        </xdr:to>
        <xdr:sp macro="" textlink="">
          <xdr:nvSpPr>
            <xdr:cNvPr id="1125" name="Button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60</xdr:row>
          <xdr:rowOff>19050</xdr:rowOff>
        </xdr:from>
        <xdr:to>
          <xdr:col>0</xdr:col>
          <xdr:colOff>447675</xdr:colOff>
          <xdr:row>60</xdr:row>
          <xdr:rowOff>266700</xdr:rowOff>
        </xdr:to>
        <xdr:sp macro="" textlink="">
          <xdr:nvSpPr>
            <xdr:cNvPr id="1126" name="Button 102" hidden="1">
              <a:extLst>
                <a:ext uri="{63B3BB69-23CF-44E3-9099-C40C66FF867C}">
                  <a14:compatExt spid="_x0000_s1126"/>
                </a:ext>
                <a:ext uri="{FF2B5EF4-FFF2-40B4-BE49-F238E27FC236}">
                  <a16:creationId xmlns:a16="http://schemas.microsoft.com/office/drawing/2014/main" id="{00000000-0008-0000-0000-00006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xdr:row>
          <xdr:rowOff>19050</xdr:rowOff>
        </xdr:from>
        <xdr:to>
          <xdr:col>0</xdr:col>
          <xdr:colOff>447675</xdr:colOff>
          <xdr:row>61</xdr:row>
          <xdr:rowOff>266700</xdr:rowOff>
        </xdr:to>
        <xdr:sp macro="" textlink="">
          <xdr:nvSpPr>
            <xdr:cNvPr id="1127" name="Button 103" hidden="1">
              <a:extLst>
                <a:ext uri="{63B3BB69-23CF-44E3-9099-C40C66FF867C}">
                  <a14:compatExt spid="_x0000_s1127"/>
                </a:ext>
                <a:ext uri="{FF2B5EF4-FFF2-40B4-BE49-F238E27FC236}">
                  <a16:creationId xmlns:a16="http://schemas.microsoft.com/office/drawing/2014/main" id="{00000000-0008-0000-0000-00006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62</xdr:row>
          <xdr:rowOff>19050</xdr:rowOff>
        </xdr:from>
        <xdr:to>
          <xdr:col>0</xdr:col>
          <xdr:colOff>447675</xdr:colOff>
          <xdr:row>62</xdr:row>
          <xdr:rowOff>266700</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62</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63</xdr:row>
          <xdr:rowOff>19050</xdr:rowOff>
        </xdr:from>
        <xdr:to>
          <xdr:col>0</xdr:col>
          <xdr:colOff>447675</xdr:colOff>
          <xdr:row>63</xdr:row>
          <xdr:rowOff>266700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64</xdr:row>
          <xdr:rowOff>19050</xdr:rowOff>
        </xdr:from>
        <xdr:to>
          <xdr:col>0</xdr:col>
          <xdr:colOff>447675</xdr:colOff>
          <xdr:row>64</xdr:row>
          <xdr:rowOff>266700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65</xdr:row>
          <xdr:rowOff>19050</xdr:rowOff>
        </xdr:from>
        <xdr:to>
          <xdr:col>0</xdr:col>
          <xdr:colOff>447675</xdr:colOff>
          <xdr:row>65</xdr:row>
          <xdr:rowOff>266700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66</xdr:row>
          <xdr:rowOff>19050</xdr:rowOff>
        </xdr:from>
        <xdr:to>
          <xdr:col>0</xdr:col>
          <xdr:colOff>447675</xdr:colOff>
          <xdr:row>66</xdr:row>
          <xdr:rowOff>266700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67</xdr:row>
          <xdr:rowOff>19050</xdr:rowOff>
        </xdr:from>
        <xdr:to>
          <xdr:col>0</xdr:col>
          <xdr:colOff>447675</xdr:colOff>
          <xdr:row>67</xdr:row>
          <xdr:rowOff>266700</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68</xdr:row>
          <xdr:rowOff>19050</xdr:rowOff>
        </xdr:from>
        <xdr:to>
          <xdr:col>0</xdr:col>
          <xdr:colOff>447675</xdr:colOff>
          <xdr:row>68</xdr:row>
          <xdr:rowOff>266700</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69</xdr:row>
          <xdr:rowOff>19050</xdr:rowOff>
        </xdr:from>
        <xdr:to>
          <xdr:col>0</xdr:col>
          <xdr:colOff>447675</xdr:colOff>
          <xdr:row>69</xdr:row>
          <xdr:rowOff>266700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70</xdr:row>
          <xdr:rowOff>19050</xdr:rowOff>
        </xdr:from>
        <xdr:to>
          <xdr:col>0</xdr:col>
          <xdr:colOff>447675</xdr:colOff>
          <xdr:row>70</xdr:row>
          <xdr:rowOff>266700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71</xdr:row>
          <xdr:rowOff>19050</xdr:rowOff>
        </xdr:from>
        <xdr:to>
          <xdr:col>0</xdr:col>
          <xdr:colOff>447675</xdr:colOff>
          <xdr:row>71</xdr:row>
          <xdr:rowOff>266700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72</xdr:row>
          <xdr:rowOff>19050</xdr:rowOff>
        </xdr:from>
        <xdr:to>
          <xdr:col>0</xdr:col>
          <xdr:colOff>447675</xdr:colOff>
          <xdr:row>72</xdr:row>
          <xdr:rowOff>266700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73</xdr:row>
          <xdr:rowOff>19050</xdr:rowOff>
        </xdr:from>
        <xdr:to>
          <xdr:col>0</xdr:col>
          <xdr:colOff>447675</xdr:colOff>
          <xdr:row>73</xdr:row>
          <xdr:rowOff>266700</xdr:rowOff>
        </xdr:to>
        <xdr:sp macro="" textlink="">
          <xdr:nvSpPr>
            <xdr:cNvPr id="1139" name="Button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75</xdr:row>
          <xdr:rowOff>19050</xdr:rowOff>
        </xdr:from>
        <xdr:to>
          <xdr:col>0</xdr:col>
          <xdr:colOff>447675</xdr:colOff>
          <xdr:row>75</xdr:row>
          <xdr:rowOff>266700</xdr:rowOff>
        </xdr:to>
        <xdr:sp macro="" textlink="">
          <xdr:nvSpPr>
            <xdr:cNvPr id="1141" name="Button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76</xdr:row>
          <xdr:rowOff>19050</xdr:rowOff>
        </xdr:from>
        <xdr:to>
          <xdr:col>0</xdr:col>
          <xdr:colOff>447675</xdr:colOff>
          <xdr:row>76</xdr:row>
          <xdr:rowOff>266700</xdr:rowOff>
        </xdr:to>
        <xdr:sp macro="" textlink="">
          <xdr:nvSpPr>
            <xdr:cNvPr id="1142" name="Button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77</xdr:row>
          <xdr:rowOff>19050</xdr:rowOff>
        </xdr:from>
        <xdr:to>
          <xdr:col>0</xdr:col>
          <xdr:colOff>447675</xdr:colOff>
          <xdr:row>77</xdr:row>
          <xdr:rowOff>266700</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78</xdr:row>
          <xdr:rowOff>19050</xdr:rowOff>
        </xdr:from>
        <xdr:to>
          <xdr:col>0</xdr:col>
          <xdr:colOff>447675</xdr:colOff>
          <xdr:row>78</xdr:row>
          <xdr:rowOff>266700</xdr:rowOff>
        </xdr:to>
        <xdr:sp macro="" textlink="">
          <xdr:nvSpPr>
            <xdr:cNvPr id="1144" name="Button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79</xdr:row>
          <xdr:rowOff>19050</xdr:rowOff>
        </xdr:from>
        <xdr:to>
          <xdr:col>0</xdr:col>
          <xdr:colOff>447675</xdr:colOff>
          <xdr:row>79</xdr:row>
          <xdr:rowOff>266700</xdr:rowOff>
        </xdr:to>
        <xdr:sp macro="" textlink="">
          <xdr:nvSpPr>
            <xdr:cNvPr id="1145" name="Button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80</xdr:row>
          <xdr:rowOff>19050</xdr:rowOff>
        </xdr:from>
        <xdr:to>
          <xdr:col>0</xdr:col>
          <xdr:colOff>447675</xdr:colOff>
          <xdr:row>80</xdr:row>
          <xdr:rowOff>266700</xdr:rowOff>
        </xdr:to>
        <xdr:sp macro="" textlink="">
          <xdr:nvSpPr>
            <xdr:cNvPr id="1146" name="Button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81</xdr:row>
          <xdr:rowOff>19050</xdr:rowOff>
        </xdr:from>
        <xdr:to>
          <xdr:col>0</xdr:col>
          <xdr:colOff>447675</xdr:colOff>
          <xdr:row>81</xdr:row>
          <xdr:rowOff>266700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82</xdr:row>
          <xdr:rowOff>19050</xdr:rowOff>
        </xdr:from>
        <xdr:to>
          <xdr:col>0</xdr:col>
          <xdr:colOff>447675</xdr:colOff>
          <xdr:row>82</xdr:row>
          <xdr:rowOff>266700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83</xdr:row>
          <xdr:rowOff>19050</xdr:rowOff>
        </xdr:from>
        <xdr:to>
          <xdr:col>0</xdr:col>
          <xdr:colOff>447675</xdr:colOff>
          <xdr:row>83</xdr:row>
          <xdr:rowOff>266700</xdr:rowOff>
        </xdr:to>
        <xdr:sp macro="" textlink="">
          <xdr:nvSpPr>
            <xdr:cNvPr id="1149" name="Button 125" hidden="1">
              <a:extLst>
                <a:ext uri="{63B3BB69-23CF-44E3-9099-C40C66FF867C}">
                  <a14:compatExt spid="_x0000_s1149"/>
                </a:ext>
                <a:ext uri="{FF2B5EF4-FFF2-40B4-BE49-F238E27FC236}">
                  <a16:creationId xmlns:a16="http://schemas.microsoft.com/office/drawing/2014/main" id="{00000000-0008-0000-0000-00007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84</xdr:row>
          <xdr:rowOff>19050</xdr:rowOff>
        </xdr:from>
        <xdr:to>
          <xdr:col>0</xdr:col>
          <xdr:colOff>447675</xdr:colOff>
          <xdr:row>84</xdr:row>
          <xdr:rowOff>266700</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85</xdr:row>
          <xdr:rowOff>19050</xdr:rowOff>
        </xdr:from>
        <xdr:to>
          <xdr:col>0</xdr:col>
          <xdr:colOff>447675</xdr:colOff>
          <xdr:row>85</xdr:row>
          <xdr:rowOff>266700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86</xdr:row>
          <xdr:rowOff>19050</xdr:rowOff>
        </xdr:from>
        <xdr:to>
          <xdr:col>0</xdr:col>
          <xdr:colOff>447675</xdr:colOff>
          <xdr:row>86</xdr:row>
          <xdr:rowOff>266700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87</xdr:row>
          <xdr:rowOff>19050</xdr:rowOff>
        </xdr:from>
        <xdr:to>
          <xdr:col>0</xdr:col>
          <xdr:colOff>447675</xdr:colOff>
          <xdr:row>87</xdr:row>
          <xdr:rowOff>266700</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88</xdr:row>
          <xdr:rowOff>19050</xdr:rowOff>
        </xdr:from>
        <xdr:to>
          <xdr:col>0</xdr:col>
          <xdr:colOff>447675</xdr:colOff>
          <xdr:row>88</xdr:row>
          <xdr:rowOff>266700</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000-00008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89</xdr:row>
          <xdr:rowOff>19050</xdr:rowOff>
        </xdr:from>
        <xdr:to>
          <xdr:col>0</xdr:col>
          <xdr:colOff>447675</xdr:colOff>
          <xdr:row>89</xdr:row>
          <xdr:rowOff>266700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90</xdr:row>
          <xdr:rowOff>19050</xdr:rowOff>
        </xdr:from>
        <xdr:to>
          <xdr:col>0</xdr:col>
          <xdr:colOff>447675</xdr:colOff>
          <xdr:row>90</xdr:row>
          <xdr:rowOff>266700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91</xdr:row>
          <xdr:rowOff>19050</xdr:rowOff>
        </xdr:from>
        <xdr:to>
          <xdr:col>0</xdr:col>
          <xdr:colOff>447675</xdr:colOff>
          <xdr:row>91</xdr:row>
          <xdr:rowOff>266700</xdr:rowOff>
        </xdr:to>
        <xdr:sp macro="" textlink="">
          <xdr:nvSpPr>
            <xdr:cNvPr id="1157" name="Button 133" hidden="1">
              <a:extLst>
                <a:ext uri="{63B3BB69-23CF-44E3-9099-C40C66FF867C}">
                  <a14:compatExt spid="_x0000_s1157"/>
                </a:ext>
                <a:ext uri="{FF2B5EF4-FFF2-40B4-BE49-F238E27FC236}">
                  <a16:creationId xmlns:a16="http://schemas.microsoft.com/office/drawing/2014/main" id="{00000000-0008-0000-0000-00008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92</xdr:row>
          <xdr:rowOff>19050</xdr:rowOff>
        </xdr:from>
        <xdr:to>
          <xdr:col>0</xdr:col>
          <xdr:colOff>447675</xdr:colOff>
          <xdr:row>92</xdr:row>
          <xdr:rowOff>266700</xdr:rowOff>
        </xdr:to>
        <xdr:sp macro="" textlink="">
          <xdr:nvSpPr>
            <xdr:cNvPr id="1158" name="Button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93</xdr:row>
          <xdr:rowOff>19050</xdr:rowOff>
        </xdr:from>
        <xdr:to>
          <xdr:col>0</xdr:col>
          <xdr:colOff>447675</xdr:colOff>
          <xdr:row>93</xdr:row>
          <xdr:rowOff>266700</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94</xdr:row>
          <xdr:rowOff>19050</xdr:rowOff>
        </xdr:from>
        <xdr:to>
          <xdr:col>0</xdr:col>
          <xdr:colOff>447675</xdr:colOff>
          <xdr:row>94</xdr:row>
          <xdr:rowOff>266700</xdr:rowOff>
        </xdr:to>
        <xdr:sp macro="" textlink="">
          <xdr:nvSpPr>
            <xdr:cNvPr id="1160" name="Button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95</xdr:row>
          <xdr:rowOff>19050</xdr:rowOff>
        </xdr:from>
        <xdr:to>
          <xdr:col>0</xdr:col>
          <xdr:colOff>447675</xdr:colOff>
          <xdr:row>95</xdr:row>
          <xdr:rowOff>266700</xdr:rowOff>
        </xdr:to>
        <xdr:sp macro="" textlink="">
          <xdr:nvSpPr>
            <xdr:cNvPr id="1161" name="Button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96</xdr:row>
          <xdr:rowOff>19050</xdr:rowOff>
        </xdr:from>
        <xdr:to>
          <xdr:col>0</xdr:col>
          <xdr:colOff>447675</xdr:colOff>
          <xdr:row>96</xdr:row>
          <xdr:rowOff>266700</xdr:rowOff>
        </xdr:to>
        <xdr:sp macro="" textlink="">
          <xdr:nvSpPr>
            <xdr:cNvPr id="1162" name="Button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97</xdr:row>
          <xdr:rowOff>19050</xdr:rowOff>
        </xdr:from>
        <xdr:to>
          <xdr:col>0</xdr:col>
          <xdr:colOff>447675</xdr:colOff>
          <xdr:row>97</xdr:row>
          <xdr:rowOff>266700</xdr:rowOff>
        </xdr:to>
        <xdr:sp macro="" textlink="">
          <xdr:nvSpPr>
            <xdr:cNvPr id="1163" name="Button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98</xdr:row>
          <xdr:rowOff>19050</xdr:rowOff>
        </xdr:from>
        <xdr:to>
          <xdr:col>0</xdr:col>
          <xdr:colOff>447675</xdr:colOff>
          <xdr:row>98</xdr:row>
          <xdr:rowOff>266700</xdr:rowOff>
        </xdr:to>
        <xdr:sp macro="" textlink="">
          <xdr:nvSpPr>
            <xdr:cNvPr id="1164" name="Button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99</xdr:row>
          <xdr:rowOff>19050</xdr:rowOff>
        </xdr:from>
        <xdr:to>
          <xdr:col>0</xdr:col>
          <xdr:colOff>447675</xdr:colOff>
          <xdr:row>99</xdr:row>
          <xdr:rowOff>266700</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100</xdr:row>
          <xdr:rowOff>19050</xdr:rowOff>
        </xdr:from>
        <xdr:to>
          <xdr:col>0</xdr:col>
          <xdr:colOff>447675</xdr:colOff>
          <xdr:row>100</xdr:row>
          <xdr:rowOff>266700</xdr:rowOff>
        </xdr:to>
        <xdr:sp macro="" textlink="">
          <xdr:nvSpPr>
            <xdr:cNvPr id="1166" name="Button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101</xdr:row>
          <xdr:rowOff>19050</xdr:rowOff>
        </xdr:from>
        <xdr:to>
          <xdr:col>0</xdr:col>
          <xdr:colOff>447675</xdr:colOff>
          <xdr:row>101</xdr:row>
          <xdr:rowOff>266700</xdr:rowOff>
        </xdr:to>
        <xdr:sp macro="" textlink="">
          <xdr:nvSpPr>
            <xdr:cNvPr id="1167" name="Button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102</xdr:row>
          <xdr:rowOff>19050</xdr:rowOff>
        </xdr:from>
        <xdr:to>
          <xdr:col>0</xdr:col>
          <xdr:colOff>447675</xdr:colOff>
          <xdr:row>102</xdr:row>
          <xdr:rowOff>266700</xdr:rowOff>
        </xdr:to>
        <xdr:sp macro="" textlink="">
          <xdr:nvSpPr>
            <xdr:cNvPr id="1168" name="Button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103</xdr:row>
          <xdr:rowOff>19050</xdr:rowOff>
        </xdr:from>
        <xdr:to>
          <xdr:col>0</xdr:col>
          <xdr:colOff>447675</xdr:colOff>
          <xdr:row>103</xdr:row>
          <xdr:rowOff>266700</xdr:rowOff>
        </xdr:to>
        <xdr:sp macro="" textlink="">
          <xdr:nvSpPr>
            <xdr:cNvPr id="1169" name="Button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104</xdr:row>
          <xdr:rowOff>19050</xdr:rowOff>
        </xdr:from>
        <xdr:to>
          <xdr:col>0</xdr:col>
          <xdr:colOff>447675</xdr:colOff>
          <xdr:row>104</xdr:row>
          <xdr:rowOff>266700</xdr:rowOff>
        </xdr:to>
        <xdr:sp macro="" textlink="">
          <xdr:nvSpPr>
            <xdr:cNvPr id="1170" name="Button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105</xdr:row>
          <xdr:rowOff>19050</xdr:rowOff>
        </xdr:from>
        <xdr:to>
          <xdr:col>0</xdr:col>
          <xdr:colOff>447675</xdr:colOff>
          <xdr:row>105</xdr:row>
          <xdr:rowOff>266700</xdr:rowOff>
        </xdr:to>
        <xdr:sp macro="" textlink="">
          <xdr:nvSpPr>
            <xdr:cNvPr id="1171" name="Button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106</xdr:row>
          <xdr:rowOff>19050</xdr:rowOff>
        </xdr:from>
        <xdr:to>
          <xdr:col>0</xdr:col>
          <xdr:colOff>447675</xdr:colOff>
          <xdr:row>106</xdr:row>
          <xdr:rowOff>266700</xdr:rowOff>
        </xdr:to>
        <xdr:sp macro="" textlink="">
          <xdr:nvSpPr>
            <xdr:cNvPr id="1172" name="Button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107</xdr:row>
          <xdr:rowOff>19050</xdr:rowOff>
        </xdr:from>
        <xdr:to>
          <xdr:col>0</xdr:col>
          <xdr:colOff>447675</xdr:colOff>
          <xdr:row>107</xdr:row>
          <xdr:rowOff>266700</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108</xdr:row>
          <xdr:rowOff>19050</xdr:rowOff>
        </xdr:from>
        <xdr:to>
          <xdr:col>0</xdr:col>
          <xdr:colOff>447675</xdr:colOff>
          <xdr:row>108</xdr:row>
          <xdr:rowOff>266700</xdr:rowOff>
        </xdr:to>
        <xdr:sp macro="" textlink="">
          <xdr:nvSpPr>
            <xdr:cNvPr id="1174" name="Button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109</xdr:row>
          <xdr:rowOff>19050</xdr:rowOff>
        </xdr:from>
        <xdr:to>
          <xdr:col>0</xdr:col>
          <xdr:colOff>447675</xdr:colOff>
          <xdr:row>109</xdr:row>
          <xdr:rowOff>266700</xdr:rowOff>
        </xdr:to>
        <xdr:sp macro="" textlink="">
          <xdr:nvSpPr>
            <xdr:cNvPr id="1175" name="Button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110</xdr:row>
          <xdr:rowOff>19050</xdr:rowOff>
        </xdr:from>
        <xdr:to>
          <xdr:col>0</xdr:col>
          <xdr:colOff>447675</xdr:colOff>
          <xdr:row>110</xdr:row>
          <xdr:rowOff>266700</xdr:rowOff>
        </xdr:to>
        <xdr:sp macro="" textlink="">
          <xdr:nvSpPr>
            <xdr:cNvPr id="1176" name="Button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111</xdr:row>
          <xdr:rowOff>19050</xdr:rowOff>
        </xdr:from>
        <xdr:to>
          <xdr:col>0</xdr:col>
          <xdr:colOff>447675</xdr:colOff>
          <xdr:row>111</xdr:row>
          <xdr:rowOff>266700</xdr:rowOff>
        </xdr:to>
        <xdr:sp macro="" textlink="">
          <xdr:nvSpPr>
            <xdr:cNvPr id="1177" name="Button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112</xdr:row>
          <xdr:rowOff>19050</xdr:rowOff>
        </xdr:from>
        <xdr:to>
          <xdr:col>0</xdr:col>
          <xdr:colOff>447675</xdr:colOff>
          <xdr:row>112</xdr:row>
          <xdr:rowOff>266700</xdr:rowOff>
        </xdr:to>
        <xdr:sp macro="" textlink="">
          <xdr:nvSpPr>
            <xdr:cNvPr id="1178" name="Button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113</xdr:row>
          <xdr:rowOff>19050</xdr:rowOff>
        </xdr:from>
        <xdr:to>
          <xdr:col>0</xdr:col>
          <xdr:colOff>447675</xdr:colOff>
          <xdr:row>113</xdr:row>
          <xdr:rowOff>266700</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114</xdr:row>
          <xdr:rowOff>19050</xdr:rowOff>
        </xdr:from>
        <xdr:to>
          <xdr:col>0</xdr:col>
          <xdr:colOff>447675</xdr:colOff>
          <xdr:row>114</xdr:row>
          <xdr:rowOff>266700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000-00009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115</xdr:row>
          <xdr:rowOff>19050</xdr:rowOff>
        </xdr:from>
        <xdr:to>
          <xdr:col>0</xdr:col>
          <xdr:colOff>447675</xdr:colOff>
          <xdr:row>115</xdr:row>
          <xdr:rowOff>266700</xdr:rowOff>
        </xdr:to>
        <xdr:sp macro="" textlink="">
          <xdr:nvSpPr>
            <xdr:cNvPr id="1181" name="Button 157" hidden="1">
              <a:extLst>
                <a:ext uri="{63B3BB69-23CF-44E3-9099-C40C66FF867C}">
                  <a14:compatExt spid="_x0000_s1181"/>
                </a:ext>
                <a:ext uri="{FF2B5EF4-FFF2-40B4-BE49-F238E27FC236}">
                  <a16:creationId xmlns:a16="http://schemas.microsoft.com/office/drawing/2014/main" id="{00000000-0008-0000-0000-00009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116</xdr:row>
          <xdr:rowOff>19050</xdr:rowOff>
        </xdr:from>
        <xdr:to>
          <xdr:col>0</xdr:col>
          <xdr:colOff>447675</xdr:colOff>
          <xdr:row>116</xdr:row>
          <xdr:rowOff>266700</xdr:rowOff>
        </xdr:to>
        <xdr:sp macro="" textlink="">
          <xdr:nvSpPr>
            <xdr:cNvPr id="1182" name="Button 158" hidden="1">
              <a:extLst>
                <a:ext uri="{63B3BB69-23CF-44E3-9099-C40C66FF867C}">
                  <a14:compatExt spid="_x0000_s1182"/>
                </a:ext>
                <a:ext uri="{FF2B5EF4-FFF2-40B4-BE49-F238E27FC236}">
                  <a16:creationId xmlns:a16="http://schemas.microsoft.com/office/drawing/2014/main" id="{00000000-0008-0000-0000-00009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117</xdr:row>
          <xdr:rowOff>19050</xdr:rowOff>
        </xdr:from>
        <xdr:to>
          <xdr:col>0</xdr:col>
          <xdr:colOff>447675</xdr:colOff>
          <xdr:row>117</xdr:row>
          <xdr:rowOff>266700</xdr:rowOff>
        </xdr:to>
        <xdr:sp macro="" textlink="">
          <xdr:nvSpPr>
            <xdr:cNvPr id="1183" name="Button 159" hidden="1">
              <a:extLst>
                <a:ext uri="{63B3BB69-23CF-44E3-9099-C40C66FF867C}">
                  <a14:compatExt spid="_x0000_s1183"/>
                </a:ext>
                <a:ext uri="{FF2B5EF4-FFF2-40B4-BE49-F238E27FC236}">
                  <a16:creationId xmlns:a16="http://schemas.microsoft.com/office/drawing/2014/main" id="{00000000-0008-0000-0000-00009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118</xdr:row>
          <xdr:rowOff>19050</xdr:rowOff>
        </xdr:from>
        <xdr:to>
          <xdr:col>0</xdr:col>
          <xdr:colOff>447675</xdr:colOff>
          <xdr:row>118</xdr:row>
          <xdr:rowOff>266700</xdr:rowOff>
        </xdr:to>
        <xdr:sp macro="" textlink="">
          <xdr:nvSpPr>
            <xdr:cNvPr id="1184" name="Button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119</xdr:row>
          <xdr:rowOff>19050</xdr:rowOff>
        </xdr:from>
        <xdr:to>
          <xdr:col>0</xdr:col>
          <xdr:colOff>447675</xdr:colOff>
          <xdr:row>119</xdr:row>
          <xdr:rowOff>266700</xdr:rowOff>
        </xdr:to>
        <xdr:sp macro="" textlink="">
          <xdr:nvSpPr>
            <xdr:cNvPr id="1185" name="Button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120</xdr:row>
          <xdr:rowOff>19050</xdr:rowOff>
        </xdr:from>
        <xdr:to>
          <xdr:col>0</xdr:col>
          <xdr:colOff>447675</xdr:colOff>
          <xdr:row>120</xdr:row>
          <xdr:rowOff>266700</xdr:rowOff>
        </xdr:to>
        <xdr:sp macro="" textlink="">
          <xdr:nvSpPr>
            <xdr:cNvPr id="1186" name="Button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121</xdr:row>
          <xdr:rowOff>19050</xdr:rowOff>
        </xdr:from>
        <xdr:to>
          <xdr:col>0</xdr:col>
          <xdr:colOff>447675</xdr:colOff>
          <xdr:row>121</xdr:row>
          <xdr:rowOff>266700</xdr:rowOff>
        </xdr:to>
        <xdr:sp macro="" textlink="">
          <xdr:nvSpPr>
            <xdr:cNvPr id="1187" name="Button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122</xdr:row>
          <xdr:rowOff>19050</xdr:rowOff>
        </xdr:from>
        <xdr:to>
          <xdr:col>0</xdr:col>
          <xdr:colOff>447675</xdr:colOff>
          <xdr:row>122</xdr:row>
          <xdr:rowOff>266700</xdr:rowOff>
        </xdr:to>
        <xdr:sp macro="" textlink="">
          <xdr:nvSpPr>
            <xdr:cNvPr id="1188" name="Button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123</xdr:row>
          <xdr:rowOff>19050</xdr:rowOff>
        </xdr:from>
        <xdr:to>
          <xdr:col>0</xdr:col>
          <xdr:colOff>447675</xdr:colOff>
          <xdr:row>123</xdr:row>
          <xdr:rowOff>266700</xdr:rowOff>
        </xdr:to>
        <xdr:sp macro="" textlink="">
          <xdr:nvSpPr>
            <xdr:cNvPr id="1189" name="Button 165" hidden="1">
              <a:extLst>
                <a:ext uri="{63B3BB69-23CF-44E3-9099-C40C66FF867C}">
                  <a14:compatExt spid="_x0000_s1189"/>
                </a:ext>
                <a:ext uri="{FF2B5EF4-FFF2-40B4-BE49-F238E27FC236}">
                  <a16:creationId xmlns:a16="http://schemas.microsoft.com/office/drawing/2014/main" id="{00000000-0008-0000-0000-0000A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124</xdr:row>
          <xdr:rowOff>19050</xdr:rowOff>
        </xdr:from>
        <xdr:to>
          <xdr:col>0</xdr:col>
          <xdr:colOff>447675</xdr:colOff>
          <xdr:row>124</xdr:row>
          <xdr:rowOff>266700</xdr:rowOff>
        </xdr:to>
        <xdr:sp macro="" textlink="">
          <xdr:nvSpPr>
            <xdr:cNvPr id="1190" name="Button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125</xdr:row>
          <xdr:rowOff>19050</xdr:rowOff>
        </xdr:from>
        <xdr:to>
          <xdr:col>0</xdr:col>
          <xdr:colOff>447675</xdr:colOff>
          <xdr:row>125</xdr:row>
          <xdr:rowOff>266700</xdr:rowOff>
        </xdr:to>
        <xdr:sp macro="" textlink="">
          <xdr:nvSpPr>
            <xdr:cNvPr id="1191" name="Button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126</xdr:row>
          <xdr:rowOff>19050</xdr:rowOff>
        </xdr:from>
        <xdr:to>
          <xdr:col>0</xdr:col>
          <xdr:colOff>447675</xdr:colOff>
          <xdr:row>126</xdr:row>
          <xdr:rowOff>266700</xdr:rowOff>
        </xdr:to>
        <xdr:sp macro="" textlink="">
          <xdr:nvSpPr>
            <xdr:cNvPr id="1192" name="Button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127</xdr:row>
          <xdr:rowOff>19050</xdr:rowOff>
        </xdr:from>
        <xdr:to>
          <xdr:col>0</xdr:col>
          <xdr:colOff>447675</xdr:colOff>
          <xdr:row>127</xdr:row>
          <xdr:rowOff>266700</xdr:rowOff>
        </xdr:to>
        <xdr:sp macro="" textlink="">
          <xdr:nvSpPr>
            <xdr:cNvPr id="1193" name="Button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128</xdr:row>
          <xdr:rowOff>19050</xdr:rowOff>
        </xdr:from>
        <xdr:to>
          <xdr:col>0</xdr:col>
          <xdr:colOff>447675</xdr:colOff>
          <xdr:row>128</xdr:row>
          <xdr:rowOff>266700</xdr:rowOff>
        </xdr:to>
        <xdr:sp macro="" textlink="">
          <xdr:nvSpPr>
            <xdr:cNvPr id="1194" name="Button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129</xdr:row>
          <xdr:rowOff>19050</xdr:rowOff>
        </xdr:from>
        <xdr:to>
          <xdr:col>0</xdr:col>
          <xdr:colOff>447675</xdr:colOff>
          <xdr:row>129</xdr:row>
          <xdr:rowOff>266700</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130</xdr:row>
          <xdr:rowOff>19050</xdr:rowOff>
        </xdr:from>
        <xdr:to>
          <xdr:col>0</xdr:col>
          <xdr:colOff>447675</xdr:colOff>
          <xdr:row>130</xdr:row>
          <xdr:rowOff>266700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131</xdr:row>
          <xdr:rowOff>19050</xdr:rowOff>
        </xdr:from>
        <xdr:to>
          <xdr:col>0</xdr:col>
          <xdr:colOff>447675</xdr:colOff>
          <xdr:row>131</xdr:row>
          <xdr:rowOff>266700</xdr:rowOff>
        </xdr:to>
        <xdr:sp macro="" textlink="">
          <xdr:nvSpPr>
            <xdr:cNvPr id="1197" name="Button 173"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132</xdr:row>
          <xdr:rowOff>19050</xdr:rowOff>
        </xdr:from>
        <xdr:to>
          <xdr:col>0</xdr:col>
          <xdr:colOff>447675</xdr:colOff>
          <xdr:row>132</xdr:row>
          <xdr:rowOff>266700</xdr:rowOff>
        </xdr:to>
        <xdr:sp macro="" textlink="">
          <xdr:nvSpPr>
            <xdr:cNvPr id="1198" name="Button 174" hidden="1">
              <a:extLst>
                <a:ext uri="{63B3BB69-23CF-44E3-9099-C40C66FF867C}">
                  <a14:compatExt spid="_x0000_s1198"/>
                </a:ext>
                <a:ext uri="{FF2B5EF4-FFF2-40B4-BE49-F238E27FC236}">
                  <a16:creationId xmlns:a16="http://schemas.microsoft.com/office/drawing/2014/main" id="{00000000-0008-0000-0000-0000A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133</xdr:row>
          <xdr:rowOff>19050</xdr:rowOff>
        </xdr:from>
        <xdr:to>
          <xdr:col>0</xdr:col>
          <xdr:colOff>447675</xdr:colOff>
          <xdr:row>133</xdr:row>
          <xdr:rowOff>266700</xdr:rowOff>
        </xdr:to>
        <xdr:sp macro="" textlink="">
          <xdr:nvSpPr>
            <xdr:cNvPr id="1199" name="Button 175" hidden="1">
              <a:extLst>
                <a:ext uri="{63B3BB69-23CF-44E3-9099-C40C66FF867C}">
                  <a14:compatExt spid="_x0000_s1199"/>
                </a:ext>
                <a:ext uri="{FF2B5EF4-FFF2-40B4-BE49-F238E27FC236}">
                  <a16:creationId xmlns:a16="http://schemas.microsoft.com/office/drawing/2014/main" id="{00000000-0008-0000-0000-0000A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134</xdr:row>
          <xdr:rowOff>19050</xdr:rowOff>
        </xdr:from>
        <xdr:to>
          <xdr:col>0</xdr:col>
          <xdr:colOff>447675</xdr:colOff>
          <xdr:row>134</xdr:row>
          <xdr:rowOff>266700</xdr:rowOff>
        </xdr:to>
        <xdr:sp macro="" textlink="">
          <xdr:nvSpPr>
            <xdr:cNvPr id="1200" name="Button 176" hidden="1">
              <a:extLst>
                <a:ext uri="{63B3BB69-23CF-44E3-9099-C40C66FF867C}">
                  <a14:compatExt spid="_x0000_s1200"/>
                </a:ext>
                <a:ext uri="{FF2B5EF4-FFF2-40B4-BE49-F238E27FC236}">
                  <a16:creationId xmlns:a16="http://schemas.microsoft.com/office/drawing/2014/main" id="{00000000-0008-0000-0000-0000B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135</xdr:row>
          <xdr:rowOff>19050</xdr:rowOff>
        </xdr:from>
        <xdr:to>
          <xdr:col>0</xdr:col>
          <xdr:colOff>447675</xdr:colOff>
          <xdr:row>135</xdr:row>
          <xdr:rowOff>266700</xdr:rowOff>
        </xdr:to>
        <xdr:sp macro="" textlink="">
          <xdr:nvSpPr>
            <xdr:cNvPr id="1201" name="Button 177" hidden="1">
              <a:extLst>
                <a:ext uri="{63B3BB69-23CF-44E3-9099-C40C66FF867C}">
                  <a14:compatExt spid="_x0000_s1201"/>
                </a:ext>
                <a:ext uri="{FF2B5EF4-FFF2-40B4-BE49-F238E27FC236}">
                  <a16:creationId xmlns:a16="http://schemas.microsoft.com/office/drawing/2014/main" id="{00000000-0008-0000-0000-0000B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136</xdr:row>
          <xdr:rowOff>19050</xdr:rowOff>
        </xdr:from>
        <xdr:to>
          <xdr:col>0</xdr:col>
          <xdr:colOff>447675</xdr:colOff>
          <xdr:row>136</xdr:row>
          <xdr:rowOff>266700</xdr:rowOff>
        </xdr:to>
        <xdr:sp macro="" textlink="">
          <xdr:nvSpPr>
            <xdr:cNvPr id="1202" name="Button 178" hidden="1">
              <a:extLst>
                <a:ext uri="{63B3BB69-23CF-44E3-9099-C40C66FF867C}">
                  <a14:compatExt spid="_x0000_s1202"/>
                </a:ext>
                <a:ext uri="{FF2B5EF4-FFF2-40B4-BE49-F238E27FC236}">
                  <a16:creationId xmlns:a16="http://schemas.microsoft.com/office/drawing/2014/main" id="{00000000-0008-0000-0000-0000B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137</xdr:row>
          <xdr:rowOff>19050</xdr:rowOff>
        </xdr:from>
        <xdr:to>
          <xdr:col>0</xdr:col>
          <xdr:colOff>447675</xdr:colOff>
          <xdr:row>137</xdr:row>
          <xdr:rowOff>266700</xdr:rowOff>
        </xdr:to>
        <xdr:sp macro="" textlink="">
          <xdr:nvSpPr>
            <xdr:cNvPr id="1203" name="Button 179" hidden="1">
              <a:extLst>
                <a:ext uri="{63B3BB69-23CF-44E3-9099-C40C66FF867C}">
                  <a14:compatExt spid="_x0000_s1203"/>
                </a:ext>
                <a:ext uri="{FF2B5EF4-FFF2-40B4-BE49-F238E27FC236}">
                  <a16:creationId xmlns:a16="http://schemas.microsoft.com/office/drawing/2014/main" id="{00000000-0008-0000-0000-0000B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138</xdr:row>
          <xdr:rowOff>19050</xdr:rowOff>
        </xdr:from>
        <xdr:to>
          <xdr:col>0</xdr:col>
          <xdr:colOff>447675</xdr:colOff>
          <xdr:row>138</xdr:row>
          <xdr:rowOff>266700</xdr:rowOff>
        </xdr:to>
        <xdr:sp macro="" textlink="">
          <xdr:nvSpPr>
            <xdr:cNvPr id="1204" name="Button 180" hidden="1">
              <a:extLst>
                <a:ext uri="{63B3BB69-23CF-44E3-9099-C40C66FF867C}">
                  <a14:compatExt spid="_x0000_s1204"/>
                </a:ext>
                <a:ext uri="{FF2B5EF4-FFF2-40B4-BE49-F238E27FC236}">
                  <a16:creationId xmlns:a16="http://schemas.microsoft.com/office/drawing/2014/main" id="{00000000-0008-0000-0000-0000B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139</xdr:row>
          <xdr:rowOff>19050</xdr:rowOff>
        </xdr:from>
        <xdr:to>
          <xdr:col>0</xdr:col>
          <xdr:colOff>447675</xdr:colOff>
          <xdr:row>139</xdr:row>
          <xdr:rowOff>266700</xdr:rowOff>
        </xdr:to>
        <xdr:sp macro="" textlink="">
          <xdr:nvSpPr>
            <xdr:cNvPr id="1205" name="Button 181" hidden="1">
              <a:extLst>
                <a:ext uri="{63B3BB69-23CF-44E3-9099-C40C66FF867C}">
                  <a14:compatExt spid="_x0000_s1205"/>
                </a:ext>
                <a:ext uri="{FF2B5EF4-FFF2-40B4-BE49-F238E27FC236}">
                  <a16:creationId xmlns:a16="http://schemas.microsoft.com/office/drawing/2014/main" id="{00000000-0008-0000-0000-0000B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140</xdr:row>
          <xdr:rowOff>19050</xdr:rowOff>
        </xdr:from>
        <xdr:to>
          <xdr:col>0</xdr:col>
          <xdr:colOff>447675</xdr:colOff>
          <xdr:row>140</xdr:row>
          <xdr:rowOff>266700</xdr:rowOff>
        </xdr:to>
        <xdr:sp macro="" textlink="">
          <xdr:nvSpPr>
            <xdr:cNvPr id="1206" name="Button 182" hidden="1">
              <a:extLst>
                <a:ext uri="{63B3BB69-23CF-44E3-9099-C40C66FF867C}">
                  <a14:compatExt spid="_x0000_s1206"/>
                </a:ext>
                <a:ext uri="{FF2B5EF4-FFF2-40B4-BE49-F238E27FC236}">
                  <a16:creationId xmlns:a16="http://schemas.microsoft.com/office/drawing/2014/main" id="{00000000-0008-0000-0000-0000B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141</xdr:row>
          <xdr:rowOff>19050</xdr:rowOff>
        </xdr:from>
        <xdr:to>
          <xdr:col>0</xdr:col>
          <xdr:colOff>447675</xdr:colOff>
          <xdr:row>141</xdr:row>
          <xdr:rowOff>266700</xdr:rowOff>
        </xdr:to>
        <xdr:sp macro="" textlink="">
          <xdr:nvSpPr>
            <xdr:cNvPr id="1207" name="Button 183" hidden="1">
              <a:extLst>
                <a:ext uri="{63B3BB69-23CF-44E3-9099-C40C66FF867C}">
                  <a14:compatExt spid="_x0000_s1207"/>
                </a:ext>
                <a:ext uri="{FF2B5EF4-FFF2-40B4-BE49-F238E27FC236}">
                  <a16:creationId xmlns:a16="http://schemas.microsoft.com/office/drawing/2014/main" id="{00000000-0008-0000-0000-0000B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142</xdr:row>
          <xdr:rowOff>19050</xdr:rowOff>
        </xdr:from>
        <xdr:to>
          <xdr:col>0</xdr:col>
          <xdr:colOff>447675</xdr:colOff>
          <xdr:row>142</xdr:row>
          <xdr:rowOff>266700</xdr:rowOff>
        </xdr:to>
        <xdr:sp macro="" textlink="">
          <xdr:nvSpPr>
            <xdr:cNvPr id="1208" name="Button 184" hidden="1">
              <a:extLst>
                <a:ext uri="{63B3BB69-23CF-44E3-9099-C40C66FF867C}">
                  <a14:compatExt spid="_x0000_s1208"/>
                </a:ext>
                <a:ext uri="{FF2B5EF4-FFF2-40B4-BE49-F238E27FC236}">
                  <a16:creationId xmlns:a16="http://schemas.microsoft.com/office/drawing/2014/main" id="{00000000-0008-0000-0000-0000B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143</xdr:row>
          <xdr:rowOff>19050</xdr:rowOff>
        </xdr:from>
        <xdr:to>
          <xdr:col>0</xdr:col>
          <xdr:colOff>447675</xdr:colOff>
          <xdr:row>143</xdr:row>
          <xdr:rowOff>266700</xdr:rowOff>
        </xdr:to>
        <xdr:sp macro="" textlink="">
          <xdr:nvSpPr>
            <xdr:cNvPr id="1209" name="Button 185" hidden="1">
              <a:extLst>
                <a:ext uri="{63B3BB69-23CF-44E3-9099-C40C66FF867C}">
                  <a14:compatExt spid="_x0000_s1209"/>
                </a:ext>
                <a:ext uri="{FF2B5EF4-FFF2-40B4-BE49-F238E27FC236}">
                  <a16:creationId xmlns:a16="http://schemas.microsoft.com/office/drawing/2014/main" id="{00000000-0008-0000-0000-0000B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144</xdr:row>
          <xdr:rowOff>19050</xdr:rowOff>
        </xdr:from>
        <xdr:to>
          <xdr:col>0</xdr:col>
          <xdr:colOff>447675</xdr:colOff>
          <xdr:row>144</xdr:row>
          <xdr:rowOff>266700</xdr:rowOff>
        </xdr:to>
        <xdr:sp macro="" textlink="">
          <xdr:nvSpPr>
            <xdr:cNvPr id="1210" name="Button 186" hidden="1">
              <a:extLst>
                <a:ext uri="{63B3BB69-23CF-44E3-9099-C40C66FF867C}">
                  <a14:compatExt spid="_x0000_s1210"/>
                </a:ext>
                <a:ext uri="{FF2B5EF4-FFF2-40B4-BE49-F238E27FC236}">
                  <a16:creationId xmlns:a16="http://schemas.microsoft.com/office/drawing/2014/main" id="{00000000-0008-0000-0000-0000B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145</xdr:row>
          <xdr:rowOff>19050</xdr:rowOff>
        </xdr:from>
        <xdr:to>
          <xdr:col>0</xdr:col>
          <xdr:colOff>447675</xdr:colOff>
          <xdr:row>145</xdr:row>
          <xdr:rowOff>266700</xdr:rowOff>
        </xdr:to>
        <xdr:sp macro="" textlink="">
          <xdr:nvSpPr>
            <xdr:cNvPr id="1211" name="Button 187" hidden="1">
              <a:extLst>
                <a:ext uri="{63B3BB69-23CF-44E3-9099-C40C66FF867C}">
                  <a14:compatExt spid="_x0000_s1211"/>
                </a:ext>
                <a:ext uri="{FF2B5EF4-FFF2-40B4-BE49-F238E27FC236}">
                  <a16:creationId xmlns:a16="http://schemas.microsoft.com/office/drawing/2014/main" id="{00000000-0008-0000-0000-0000B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146</xdr:row>
          <xdr:rowOff>19050</xdr:rowOff>
        </xdr:from>
        <xdr:to>
          <xdr:col>0</xdr:col>
          <xdr:colOff>447675</xdr:colOff>
          <xdr:row>146</xdr:row>
          <xdr:rowOff>266700</xdr:rowOff>
        </xdr:to>
        <xdr:sp macro="" textlink="">
          <xdr:nvSpPr>
            <xdr:cNvPr id="1212" name="Button 188" hidden="1">
              <a:extLst>
                <a:ext uri="{63B3BB69-23CF-44E3-9099-C40C66FF867C}">
                  <a14:compatExt spid="_x0000_s1212"/>
                </a:ext>
                <a:ext uri="{FF2B5EF4-FFF2-40B4-BE49-F238E27FC236}">
                  <a16:creationId xmlns:a16="http://schemas.microsoft.com/office/drawing/2014/main" id="{00000000-0008-0000-0000-0000B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147</xdr:row>
          <xdr:rowOff>19050</xdr:rowOff>
        </xdr:from>
        <xdr:to>
          <xdr:col>0</xdr:col>
          <xdr:colOff>447675</xdr:colOff>
          <xdr:row>147</xdr:row>
          <xdr:rowOff>266700</xdr:rowOff>
        </xdr:to>
        <xdr:sp macro="" textlink="">
          <xdr:nvSpPr>
            <xdr:cNvPr id="1213" name="Button 189" hidden="1">
              <a:extLst>
                <a:ext uri="{63B3BB69-23CF-44E3-9099-C40C66FF867C}">
                  <a14:compatExt spid="_x0000_s1213"/>
                </a:ext>
                <a:ext uri="{FF2B5EF4-FFF2-40B4-BE49-F238E27FC236}">
                  <a16:creationId xmlns:a16="http://schemas.microsoft.com/office/drawing/2014/main" id="{00000000-0008-0000-0000-0000B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148</xdr:row>
          <xdr:rowOff>19050</xdr:rowOff>
        </xdr:from>
        <xdr:to>
          <xdr:col>0</xdr:col>
          <xdr:colOff>447675</xdr:colOff>
          <xdr:row>148</xdr:row>
          <xdr:rowOff>266700</xdr:rowOff>
        </xdr:to>
        <xdr:sp macro="" textlink="">
          <xdr:nvSpPr>
            <xdr:cNvPr id="1214" name="Button 190" hidden="1">
              <a:extLst>
                <a:ext uri="{63B3BB69-23CF-44E3-9099-C40C66FF867C}">
                  <a14:compatExt spid="_x0000_s1214"/>
                </a:ext>
                <a:ext uri="{FF2B5EF4-FFF2-40B4-BE49-F238E27FC236}">
                  <a16:creationId xmlns:a16="http://schemas.microsoft.com/office/drawing/2014/main" id="{00000000-0008-0000-0000-0000B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149</xdr:row>
          <xdr:rowOff>19050</xdr:rowOff>
        </xdr:from>
        <xdr:to>
          <xdr:col>0</xdr:col>
          <xdr:colOff>447675</xdr:colOff>
          <xdr:row>149</xdr:row>
          <xdr:rowOff>266700</xdr:rowOff>
        </xdr:to>
        <xdr:sp macro="" textlink="">
          <xdr:nvSpPr>
            <xdr:cNvPr id="1215" name="Button 191" hidden="1">
              <a:extLst>
                <a:ext uri="{63B3BB69-23CF-44E3-9099-C40C66FF867C}">
                  <a14:compatExt spid="_x0000_s1215"/>
                </a:ext>
                <a:ext uri="{FF2B5EF4-FFF2-40B4-BE49-F238E27FC236}">
                  <a16:creationId xmlns:a16="http://schemas.microsoft.com/office/drawing/2014/main" id="{00000000-0008-0000-0000-0000B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150</xdr:row>
          <xdr:rowOff>19050</xdr:rowOff>
        </xdr:from>
        <xdr:to>
          <xdr:col>0</xdr:col>
          <xdr:colOff>447675</xdr:colOff>
          <xdr:row>150</xdr:row>
          <xdr:rowOff>266700</xdr:rowOff>
        </xdr:to>
        <xdr:sp macro="" textlink="">
          <xdr:nvSpPr>
            <xdr:cNvPr id="1216" name="Button 192" hidden="1">
              <a:extLst>
                <a:ext uri="{63B3BB69-23CF-44E3-9099-C40C66FF867C}">
                  <a14:compatExt spid="_x0000_s1216"/>
                </a:ext>
                <a:ext uri="{FF2B5EF4-FFF2-40B4-BE49-F238E27FC236}">
                  <a16:creationId xmlns:a16="http://schemas.microsoft.com/office/drawing/2014/main" id="{00000000-0008-0000-0000-0000C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151</xdr:row>
          <xdr:rowOff>19050</xdr:rowOff>
        </xdr:from>
        <xdr:to>
          <xdr:col>0</xdr:col>
          <xdr:colOff>447675</xdr:colOff>
          <xdr:row>151</xdr:row>
          <xdr:rowOff>266700</xdr:rowOff>
        </xdr:to>
        <xdr:sp macro="" textlink="">
          <xdr:nvSpPr>
            <xdr:cNvPr id="1217" name="Button 193" hidden="1">
              <a:extLst>
                <a:ext uri="{63B3BB69-23CF-44E3-9099-C40C66FF867C}">
                  <a14:compatExt spid="_x0000_s1217"/>
                </a:ext>
                <a:ext uri="{FF2B5EF4-FFF2-40B4-BE49-F238E27FC236}">
                  <a16:creationId xmlns:a16="http://schemas.microsoft.com/office/drawing/2014/main" id="{00000000-0008-0000-0000-0000C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152</xdr:row>
          <xdr:rowOff>19050</xdr:rowOff>
        </xdr:from>
        <xdr:to>
          <xdr:col>0</xdr:col>
          <xdr:colOff>447675</xdr:colOff>
          <xdr:row>152</xdr:row>
          <xdr:rowOff>266700</xdr:rowOff>
        </xdr:to>
        <xdr:sp macro="" textlink="">
          <xdr:nvSpPr>
            <xdr:cNvPr id="1218" name="Button 194" hidden="1">
              <a:extLst>
                <a:ext uri="{63B3BB69-23CF-44E3-9099-C40C66FF867C}">
                  <a14:compatExt spid="_x0000_s1218"/>
                </a:ext>
                <a:ext uri="{FF2B5EF4-FFF2-40B4-BE49-F238E27FC236}">
                  <a16:creationId xmlns:a16="http://schemas.microsoft.com/office/drawing/2014/main" id="{00000000-0008-0000-0000-0000C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153</xdr:row>
          <xdr:rowOff>19050</xdr:rowOff>
        </xdr:from>
        <xdr:to>
          <xdr:col>0</xdr:col>
          <xdr:colOff>447675</xdr:colOff>
          <xdr:row>153</xdr:row>
          <xdr:rowOff>266700</xdr:rowOff>
        </xdr:to>
        <xdr:sp macro="" textlink="">
          <xdr:nvSpPr>
            <xdr:cNvPr id="1219" name="Button 195" hidden="1">
              <a:extLst>
                <a:ext uri="{63B3BB69-23CF-44E3-9099-C40C66FF867C}">
                  <a14:compatExt spid="_x0000_s1219"/>
                </a:ext>
                <a:ext uri="{FF2B5EF4-FFF2-40B4-BE49-F238E27FC236}">
                  <a16:creationId xmlns:a16="http://schemas.microsoft.com/office/drawing/2014/main" id="{00000000-0008-0000-0000-0000C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154</xdr:row>
          <xdr:rowOff>19050</xdr:rowOff>
        </xdr:from>
        <xdr:to>
          <xdr:col>0</xdr:col>
          <xdr:colOff>447675</xdr:colOff>
          <xdr:row>154</xdr:row>
          <xdr:rowOff>266700</xdr:rowOff>
        </xdr:to>
        <xdr:sp macro="" textlink="">
          <xdr:nvSpPr>
            <xdr:cNvPr id="1220" name="Button 196" hidden="1">
              <a:extLst>
                <a:ext uri="{63B3BB69-23CF-44E3-9099-C40C66FF867C}">
                  <a14:compatExt spid="_x0000_s1220"/>
                </a:ext>
                <a:ext uri="{FF2B5EF4-FFF2-40B4-BE49-F238E27FC236}">
                  <a16:creationId xmlns:a16="http://schemas.microsoft.com/office/drawing/2014/main" id="{00000000-0008-0000-0000-0000C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155</xdr:row>
          <xdr:rowOff>19050</xdr:rowOff>
        </xdr:from>
        <xdr:to>
          <xdr:col>0</xdr:col>
          <xdr:colOff>447675</xdr:colOff>
          <xdr:row>155</xdr:row>
          <xdr:rowOff>266700</xdr:rowOff>
        </xdr:to>
        <xdr:sp macro="" textlink="">
          <xdr:nvSpPr>
            <xdr:cNvPr id="1221" name="Button 197" hidden="1">
              <a:extLst>
                <a:ext uri="{63B3BB69-23CF-44E3-9099-C40C66FF867C}">
                  <a14:compatExt spid="_x0000_s1221"/>
                </a:ext>
                <a:ext uri="{FF2B5EF4-FFF2-40B4-BE49-F238E27FC236}">
                  <a16:creationId xmlns:a16="http://schemas.microsoft.com/office/drawing/2014/main" id="{00000000-0008-0000-0000-0000C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156</xdr:row>
          <xdr:rowOff>19050</xdr:rowOff>
        </xdr:from>
        <xdr:to>
          <xdr:col>0</xdr:col>
          <xdr:colOff>447675</xdr:colOff>
          <xdr:row>156</xdr:row>
          <xdr:rowOff>266700</xdr:rowOff>
        </xdr:to>
        <xdr:sp macro="" textlink="">
          <xdr:nvSpPr>
            <xdr:cNvPr id="1222" name="Button 198" hidden="1">
              <a:extLst>
                <a:ext uri="{63B3BB69-23CF-44E3-9099-C40C66FF867C}">
                  <a14:compatExt spid="_x0000_s1222"/>
                </a:ext>
                <a:ext uri="{FF2B5EF4-FFF2-40B4-BE49-F238E27FC236}">
                  <a16:creationId xmlns:a16="http://schemas.microsoft.com/office/drawing/2014/main" id="{00000000-0008-0000-0000-0000C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157</xdr:row>
          <xdr:rowOff>19050</xdr:rowOff>
        </xdr:from>
        <xdr:to>
          <xdr:col>0</xdr:col>
          <xdr:colOff>447675</xdr:colOff>
          <xdr:row>157</xdr:row>
          <xdr:rowOff>266700</xdr:rowOff>
        </xdr:to>
        <xdr:sp macro="" textlink="">
          <xdr:nvSpPr>
            <xdr:cNvPr id="1223" name="Button 199" hidden="1">
              <a:extLst>
                <a:ext uri="{63B3BB69-23CF-44E3-9099-C40C66FF867C}">
                  <a14:compatExt spid="_x0000_s1223"/>
                </a:ext>
                <a:ext uri="{FF2B5EF4-FFF2-40B4-BE49-F238E27FC236}">
                  <a16:creationId xmlns:a16="http://schemas.microsoft.com/office/drawing/2014/main" id="{00000000-0008-0000-0000-0000C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158</xdr:row>
          <xdr:rowOff>19050</xdr:rowOff>
        </xdr:from>
        <xdr:to>
          <xdr:col>0</xdr:col>
          <xdr:colOff>447675</xdr:colOff>
          <xdr:row>158</xdr:row>
          <xdr:rowOff>266700</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000-0000C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159</xdr:row>
          <xdr:rowOff>19050</xdr:rowOff>
        </xdr:from>
        <xdr:to>
          <xdr:col>0</xdr:col>
          <xdr:colOff>447675</xdr:colOff>
          <xdr:row>159</xdr:row>
          <xdr:rowOff>266700</xdr:rowOff>
        </xdr:to>
        <xdr:sp macro="" textlink="">
          <xdr:nvSpPr>
            <xdr:cNvPr id="1225" name="Button 201" hidden="1">
              <a:extLst>
                <a:ext uri="{63B3BB69-23CF-44E3-9099-C40C66FF867C}">
                  <a14:compatExt spid="_x0000_s1225"/>
                </a:ext>
                <a:ext uri="{FF2B5EF4-FFF2-40B4-BE49-F238E27FC236}">
                  <a16:creationId xmlns:a16="http://schemas.microsoft.com/office/drawing/2014/main" id="{00000000-0008-0000-0000-0000C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160</xdr:row>
          <xdr:rowOff>19050</xdr:rowOff>
        </xdr:from>
        <xdr:to>
          <xdr:col>0</xdr:col>
          <xdr:colOff>447675</xdr:colOff>
          <xdr:row>160</xdr:row>
          <xdr:rowOff>266700</xdr:rowOff>
        </xdr:to>
        <xdr:sp macro="" textlink="">
          <xdr:nvSpPr>
            <xdr:cNvPr id="1226" name="Button 202" hidden="1">
              <a:extLst>
                <a:ext uri="{63B3BB69-23CF-44E3-9099-C40C66FF867C}">
                  <a14:compatExt spid="_x0000_s1226"/>
                </a:ext>
                <a:ext uri="{FF2B5EF4-FFF2-40B4-BE49-F238E27FC236}">
                  <a16:creationId xmlns:a16="http://schemas.microsoft.com/office/drawing/2014/main" id="{00000000-0008-0000-0000-0000C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26</xdr:row>
          <xdr:rowOff>28575</xdr:rowOff>
        </xdr:from>
        <xdr:to>
          <xdr:col>0</xdr:col>
          <xdr:colOff>428625</xdr:colOff>
          <xdr:row>26</xdr:row>
          <xdr:rowOff>266700</xdr:rowOff>
        </xdr:to>
        <xdr:sp macro="" textlink="">
          <xdr:nvSpPr>
            <xdr:cNvPr id="1227" name="Button 203" hidden="1">
              <a:extLst>
                <a:ext uri="{63B3BB69-23CF-44E3-9099-C40C66FF867C}">
                  <a14:compatExt spid="_x0000_s1227"/>
                </a:ext>
                <a:ext uri="{FF2B5EF4-FFF2-40B4-BE49-F238E27FC236}">
                  <a16:creationId xmlns:a16="http://schemas.microsoft.com/office/drawing/2014/main" id="{00000000-0008-0000-0000-0000C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51</xdr:row>
          <xdr:rowOff>28575</xdr:rowOff>
        </xdr:from>
        <xdr:to>
          <xdr:col>0</xdr:col>
          <xdr:colOff>447675</xdr:colOff>
          <xdr:row>51</xdr:row>
          <xdr:rowOff>266700</xdr:rowOff>
        </xdr:to>
        <xdr:sp macro="" textlink="">
          <xdr:nvSpPr>
            <xdr:cNvPr id="1229" name="Button 205" hidden="1">
              <a:extLst>
                <a:ext uri="{63B3BB69-23CF-44E3-9099-C40C66FF867C}">
                  <a14:compatExt spid="_x0000_s1229"/>
                </a:ext>
                <a:ext uri="{FF2B5EF4-FFF2-40B4-BE49-F238E27FC236}">
                  <a16:creationId xmlns:a16="http://schemas.microsoft.com/office/drawing/2014/main" id="{00000000-0008-0000-0000-0000C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457200</xdr:colOff>
          <xdr:row>50</xdr:row>
          <xdr:rowOff>266700</xdr:rowOff>
        </xdr:to>
        <xdr:sp macro="" textlink="">
          <xdr:nvSpPr>
            <xdr:cNvPr id="1230" name="Button 206" hidden="1">
              <a:extLst>
                <a:ext uri="{63B3BB69-23CF-44E3-9099-C40C66FF867C}">
                  <a14:compatExt spid="_x0000_s1230"/>
                </a:ext>
                <a:ext uri="{FF2B5EF4-FFF2-40B4-BE49-F238E27FC236}">
                  <a16:creationId xmlns:a16="http://schemas.microsoft.com/office/drawing/2014/main" id="{00000000-0008-0000-0000-0000C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52</xdr:row>
          <xdr:rowOff>19050</xdr:rowOff>
        </xdr:from>
        <xdr:to>
          <xdr:col>0</xdr:col>
          <xdr:colOff>447675</xdr:colOff>
          <xdr:row>52</xdr:row>
          <xdr:rowOff>266700</xdr:rowOff>
        </xdr:to>
        <xdr:sp macro="" textlink="">
          <xdr:nvSpPr>
            <xdr:cNvPr id="1231" name="Button 207" hidden="1">
              <a:extLst>
                <a:ext uri="{63B3BB69-23CF-44E3-9099-C40C66FF867C}">
                  <a14:compatExt spid="_x0000_s1231"/>
                </a:ext>
                <a:ext uri="{FF2B5EF4-FFF2-40B4-BE49-F238E27FC236}">
                  <a16:creationId xmlns:a16="http://schemas.microsoft.com/office/drawing/2014/main" id="{00000000-0008-0000-0000-0000C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74</xdr:row>
          <xdr:rowOff>19050</xdr:rowOff>
        </xdr:from>
        <xdr:to>
          <xdr:col>0</xdr:col>
          <xdr:colOff>447675</xdr:colOff>
          <xdr:row>74</xdr:row>
          <xdr:rowOff>276225</xdr:rowOff>
        </xdr:to>
        <xdr:sp macro="" textlink="">
          <xdr:nvSpPr>
            <xdr:cNvPr id="1233" name="Button 209" hidden="1">
              <a:extLst>
                <a:ext uri="{63B3BB69-23CF-44E3-9099-C40C66FF867C}">
                  <a14:compatExt spid="_x0000_s1233"/>
                </a:ext>
                <a:ext uri="{FF2B5EF4-FFF2-40B4-BE49-F238E27FC236}">
                  <a16:creationId xmlns:a16="http://schemas.microsoft.com/office/drawing/2014/main" id="{00000000-0008-0000-0000-0000D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7</xdr:row>
          <xdr:rowOff>19050</xdr:rowOff>
        </xdr:from>
        <xdr:to>
          <xdr:col>16</xdr:col>
          <xdr:colOff>447675</xdr:colOff>
          <xdr:row>7</xdr:row>
          <xdr:rowOff>266700</xdr:rowOff>
        </xdr:to>
        <xdr:sp macro="" textlink="">
          <xdr:nvSpPr>
            <xdr:cNvPr id="1234" name="Button 210" hidden="1">
              <a:extLst>
                <a:ext uri="{63B3BB69-23CF-44E3-9099-C40C66FF867C}">
                  <a14:compatExt spid="_x0000_s1234"/>
                </a:ext>
                <a:ext uri="{FF2B5EF4-FFF2-40B4-BE49-F238E27FC236}">
                  <a16:creationId xmlns:a16="http://schemas.microsoft.com/office/drawing/2014/main" id="{00000000-0008-0000-0000-0000D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8</xdr:row>
          <xdr:rowOff>19050</xdr:rowOff>
        </xdr:from>
        <xdr:to>
          <xdr:col>16</xdr:col>
          <xdr:colOff>447675</xdr:colOff>
          <xdr:row>8</xdr:row>
          <xdr:rowOff>266700</xdr:rowOff>
        </xdr:to>
        <xdr:sp macro="" textlink="">
          <xdr:nvSpPr>
            <xdr:cNvPr id="1235" name="Button 211" hidden="1">
              <a:extLst>
                <a:ext uri="{63B3BB69-23CF-44E3-9099-C40C66FF867C}">
                  <a14:compatExt spid="_x0000_s1235"/>
                </a:ext>
                <a:ext uri="{FF2B5EF4-FFF2-40B4-BE49-F238E27FC236}">
                  <a16:creationId xmlns:a16="http://schemas.microsoft.com/office/drawing/2014/main" id="{00000000-0008-0000-0000-0000D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9</xdr:row>
          <xdr:rowOff>19050</xdr:rowOff>
        </xdr:from>
        <xdr:to>
          <xdr:col>16</xdr:col>
          <xdr:colOff>447675</xdr:colOff>
          <xdr:row>9</xdr:row>
          <xdr:rowOff>266700</xdr:rowOff>
        </xdr:to>
        <xdr:sp macro="" textlink="">
          <xdr:nvSpPr>
            <xdr:cNvPr id="1236" name="Button 212" hidden="1">
              <a:extLst>
                <a:ext uri="{63B3BB69-23CF-44E3-9099-C40C66FF867C}">
                  <a14:compatExt spid="_x0000_s1236"/>
                </a:ext>
                <a:ext uri="{FF2B5EF4-FFF2-40B4-BE49-F238E27FC236}">
                  <a16:creationId xmlns:a16="http://schemas.microsoft.com/office/drawing/2014/main" id="{00000000-0008-0000-0000-0000D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10</xdr:row>
          <xdr:rowOff>19050</xdr:rowOff>
        </xdr:from>
        <xdr:to>
          <xdr:col>16</xdr:col>
          <xdr:colOff>447675</xdr:colOff>
          <xdr:row>10</xdr:row>
          <xdr:rowOff>266700</xdr:rowOff>
        </xdr:to>
        <xdr:sp macro="" textlink="">
          <xdr:nvSpPr>
            <xdr:cNvPr id="1237" name="Button 213" hidden="1">
              <a:extLst>
                <a:ext uri="{63B3BB69-23CF-44E3-9099-C40C66FF867C}">
                  <a14:compatExt spid="_x0000_s1237"/>
                </a:ext>
                <a:ext uri="{FF2B5EF4-FFF2-40B4-BE49-F238E27FC236}">
                  <a16:creationId xmlns:a16="http://schemas.microsoft.com/office/drawing/2014/main" id="{00000000-0008-0000-0000-0000D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11</xdr:row>
          <xdr:rowOff>19050</xdr:rowOff>
        </xdr:from>
        <xdr:to>
          <xdr:col>16</xdr:col>
          <xdr:colOff>447675</xdr:colOff>
          <xdr:row>11</xdr:row>
          <xdr:rowOff>266700</xdr:rowOff>
        </xdr:to>
        <xdr:sp macro="" textlink="">
          <xdr:nvSpPr>
            <xdr:cNvPr id="1238" name="Button 214" hidden="1">
              <a:extLst>
                <a:ext uri="{63B3BB69-23CF-44E3-9099-C40C66FF867C}">
                  <a14:compatExt spid="_x0000_s1238"/>
                </a:ext>
                <a:ext uri="{FF2B5EF4-FFF2-40B4-BE49-F238E27FC236}">
                  <a16:creationId xmlns:a16="http://schemas.microsoft.com/office/drawing/2014/main" id="{00000000-0008-0000-0000-0000D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12</xdr:row>
          <xdr:rowOff>19050</xdr:rowOff>
        </xdr:from>
        <xdr:to>
          <xdr:col>16</xdr:col>
          <xdr:colOff>447675</xdr:colOff>
          <xdr:row>12</xdr:row>
          <xdr:rowOff>266700</xdr:rowOff>
        </xdr:to>
        <xdr:sp macro="" textlink="">
          <xdr:nvSpPr>
            <xdr:cNvPr id="1239" name="Button 215" hidden="1">
              <a:extLst>
                <a:ext uri="{63B3BB69-23CF-44E3-9099-C40C66FF867C}">
                  <a14:compatExt spid="_x0000_s1239"/>
                </a:ext>
                <a:ext uri="{FF2B5EF4-FFF2-40B4-BE49-F238E27FC236}">
                  <a16:creationId xmlns:a16="http://schemas.microsoft.com/office/drawing/2014/main" id="{00000000-0008-0000-0000-0000D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13</xdr:row>
          <xdr:rowOff>19050</xdr:rowOff>
        </xdr:from>
        <xdr:to>
          <xdr:col>16</xdr:col>
          <xdr:colOff>447675</xdr:colOff>
          <xdr:row>13</xdr:row>
          <xdr:rowOff>266700</xdr:rowOff>
        </xdr:to>
        <xdr:sp macro="" textlink="">
          <xdr:nvSpPr>
            <xdr:cNvPr id="1240" name="Button 216" hidden="1">
              <a:extLst>
                <a:ext uri="{63B3BB69-23CF-44E3-9099-C40C66FF867C}">
                  <a14:compatExt spid="_x0000_s1240"/>
                </a:ext>
                <a:ext uri="{FF2B5EF4-FFF2-40B4-BE49-F238E27FC236}">
                  <a16:creationId xmlns:a16="http://schemas.microsoft.com/office/drawing/2014/main" id="{00000000-0008-0000-0000-0000D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14</xdr:row>
          <xdr:rowOff>19050</xdr:rowOff>
        </xdr:from>
        <xdr:to>
          <xdr:col>16</xdr:col>
          <xdr:colOff>447675</xdr:colOff>
          <xdr:row>14</xdr:row>
          <xdr:rowOff>266700</xdr:rowOff>
        </xdr:to>
        <xdr:sp macro="" textlink="">
          <xdr:nvSpPr>
            <xdr:cNvPr id="1241" name="Button 217" hidden="1">
              <a:extLst>
                <a:ext uri="{63B3BB69-23CF-44E3-9099-C40C66FF867C}">
                  <a14:compatExt spid="_x0000_s1241"/>
                </a:ext>
                <a:ext uri="{FF2B5EF4-FFF2-40B4-BE49-F238E27FC236}">
                  <a16:creationId xmlns:a16="http://schemas.microsoft.com/office/drawing/2014/main" id="{00000000-0008-0000-0000-0000D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15</xdr:row>
          <xdr:rowOff>19050</xdr:rowOff>
        </xdr:from>
        <xdr:to>
          <xdr:col>16</xdr:col>
          <xdr:colOff>447675</xdr:colOff>
          <xdr:row>15</xdr:row>
          <xdr:rowOff>266700</xdr:rowOff>
        </xdr:to>
        <xdr:sp macro="" textlink="">
          <xdr:nvSpPr>
            <xdr:cNvPr id="1242" name="Button 218" hidden="1">
              <a:extLst>
                <a:ext uri="{63B3BB69-23CF-44E3-9099-C40C66FF867C}">
                  <a14:compatExt spid="_x0000_s1242"/>
                </a:ext>
                <a:ext uri="{FF2B5EF4-FFF2-40B4-BE49-F238E27FC236}">
                  <a16:creationId xmlns:a16="http://schemas.microsoft.com/office/drawing/2014/main" id="{00000000-0008-0000-0000-0000D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16</xdr:row>
          <xdr:rowOff>19050</xdr:rowOff>
        </xdr:from>
        <xdr:to>
          <xdr:col>16</xdr:col>
          <xdr:colOff>447675</xdr:colOff>
          <xdr:row>16</xdr:row>
          <xdr:rowOff>266700</xdr:rowOff>
        </xdr:to>
        <xdr:sp macro="" textlink="">
          <xdr:nvSpPr>
            <xdr:cNvPr id="1243" name="Button 219" hidden="1">
              <a:extLst>
                <a:ext uri="{63B3BB69-23CF-44E3-9099-C40C66FF867C}">
                  <a14:compatExt spid="_x0000_s1243"/>
                </a:ext>
                <a:ext uri="{FF2B5EF4-FFF2-40B4-BE49-F238E27FC236}">
                  <a16:creationId xmlns:a16="http://schemas.microsoft.com/office/drawing/2014/main" id="{00000000-0008-0000-0000-0000D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17</xdr:row>
          <xdr:rowOff>19050</xdr:rowOff>
        </xdr:from>
        <xdr:to>
          <xdr:col>16</xdr:col>
          <xdr:colOff>447675</xdr:colOff>
          <xdr:row>17</xdr:row>
          <xdr:rowOff>266700</xdr:rowOff>
        </xdr:to>
        <xdr:sp macro="" textlink="">
          <xdr:nvSpPr>
            <xdr:cNvPr id="1244" name="Button 220" hidden="1">
              <a:extLst>
                <a:ext uri="{63B3BB69-23CF-44E3-9099-C40C66FF867C}">
                  <a14:compatExt spid="_x0000_s1244"/>
                </a:ext>
                <a:ext uri="{FF2B5EF4-FFF2-40B4-BE49-F238E27FC236}">
                  <a16:creationId xmlns:a16="http://schemas.microsoft.com/office/drawing/2014/main" id="{00000000-0008-0000-0000-0000D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18</xdr:row>
          <xdr:rowOff>19050</xdr:rowOff>
        </xdr:from>
        <xdr:to>
          <xdr:col>16</xdr:col>
          <xdr:colOff>447675</xdr:colOff>
          <xdr:row>18</xdr:row>
          <xdr:rowOff>266700</xdr:rowOff>
        </xdr:to>
        <xdr:sp macro="" textlink="">
          <xdr:nvSpPr>
            <xdr:cNvPr id="1245" name="Button 221" hidden="1">
              <a:extLst>
                <a:ext uri="{63B3BB69-23CF-44E3-9099-C40C66FF867C}">
                  <a14:compatExt spid="_x0000_s1245"/>
                </a:ext>
                <a:ext uri="{FF2B5EF4-FFF2-40B4-BE49-F238E27FC236}">
                  <a16:creationId xmlns:a16="http://schemas.microsoft.com/office/drawing/2014/main" id="{00000000-0008-0000-0000-0000D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19</xdr:row>
          <xdr:rowOff>19050</xdr:rowOff>
        </xdr:from>
        <xdr:to>
          <xdr:col>16</xdr:col>
          <xdr:colOff>447675</xdr:colOff>
          <xdr:row>19</xdr:row>
          <xdr:rowOff>266700</xdr:rowOff>
        </xdr:to>
        <xdr:sp macro="" textlink="">
          <xdr:nvSpPr>
            <xdr:cNvPr id="1246" name="Button 222" hidden="1">
              <a:extLst>
                <a:ext uri="{63B3BB69-23CF-44E3-9099-C40C66FF867C}">
                  <a14:compatExt spid="_x0000_s1246"/>
                </a:ext>
                <a:ext uri="{FF2B5EF4-FFF2-40B4-BE49-F238E27FC236}">
                  <a16:creationId xmlns:a16="http://schemas.microsoft.com/office/drawing/2014/main" id="{00000000-0008-0000-0000-0000D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20</xdr:row>
          <xdr:rowOff>19050</xdr:rowOff>
        </xdr:from>
        <xdr:to>
          <xdr:col>16</xdr:col>
          <xdr:colOff>447675</xdr:colOff>
          <xdr:row>20</xdr:row>
          <xdr:rowOff>266700</xdr:rowOff>
        </xdr:to>
        <xdr:sp macro="" textlink="">
          <xdr:nvSpPr>
            <xdr:cNvPr id="1247" name="Button 223" hidden="1">
              <a:extLst>
                <a:ext uri="{63B3BB69-23CF-44E3-9099-C40C66FF867C}">
                  <a14:compatExt spid="_x0000_s1247"/>
                </a:ext>
                <a:ext uri="{FF2B5EF4-FFF2-40B4-BE49-F238E27FC236}">
                  <a16:creationId xmlns:a16="http://schemas.microsoft.com/office/drawing/2014/main" id="{00000000-0008-0000-0000-0000D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21</xdr:row>
          <xdr:rowOff>19050</xdr:rowOff>
        </xdr:from>
        <xdr:to>
          <xdr:col>16</xdr:col>
          <xdr:colOff>447675</xdr:colOff>
          <xdr:row>21</xdr:row>
          <xdr:rowOff>266700</xdr:rowOff>
        </xdr:to>
        <xdr:sp macro="" textlink="">
          <xdr:nvSpPr>
            <xdr:cNvPr id="1248" name="Button 224" hidden="1">
              <a:extLst>
                <a:ext uri="{63B3BB69-23CF-44E3-9099-C40C66FF867C}">
                  <a14:compatExt spid="_x0000_s1248"/>
                </a:ext>
                <a:ext uri="{FF2B5EF4-FFF2-40B4-BE49-F238E27FC236}">
                  <a16:creationId xmlns:a16="http://schemas.microsoft.com/office/drawing/2014/main" id="{00000000-0008-0000-0000-0000E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22</xdr:row>
          <xdr:rowOff>19050</xdr:rowOff>
        </xdr:from>
        <xdr:to>
          <xdr:col>16</xdr:col>
          <xdr:colOff>447675</xdr:colOff>
          <xdr:row>22</xdr:row>
          <xdr:rowOff>266700</xdr:rowOff>
        </xdr:to>
        <xdr:sp macro="" textlink="">
          <xdr:nvSpPr>
            <xdr:cNvPr id="1249" name="Button 225" hidden="1">
              <a:extLst>
                <a:ext uri="{63B3BB69-23CF-44E3-9099-C40C66FF867C}">
                  <a14:compatExt spid="_x0000_s1249"/>
                </a:ext>
                <a:ext uri="{FF2B5EF4-FFF2-40B4-BE49-F238E27FC236}">
                  <a16:creationId xmlns:a16="http://schemas.microsoft.com/office/drawing/2014/main" id="{00000000-0008-0000-0000-0000E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23</xdr:row>
          <xdr:rowOff>19050</xdr:rowOff>
        </xdr:from>
        <xdr:to>
          <xdr:col>16</xdr:col>
          <xdr:colOff>447675</xdr:colOff>
          <xdr:row>23</xdr:row>
          <xdr:rowOff>266700</xdr:rowOff>
        </xdr:to>
        <xdr:sp macro="" textlink="">
          <xdr:nvSpPr>
            <xdr:cNvPr id="1250" name="Button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24</xdr:row>
          <xdr:rowOff>19050</xdr:rowOff>
        </xdr:from>
        <xdr:to>
          <xdr:col>16</xdr:col>
          <xdr:colOff>447675</xdr:colOff>
          <xdr:row>24</xdr:row>
          <xdr:rowOff>266700</xdr:rowOff>
        </xdr:to>
        <xdr:sp macro="" textlink="">
          <xdr:nvSpPr>
            <xdr:cNvPr id="1251" name="Button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25</xdr:row>
          <xdr:rowOff>19050</xdr:rowOff>
        </xdr:from>
        <xdr:to>
          <xdr:col>16</xdr:col>
          <xdr:colOff>447675</xdr:colOff>
          <xdr:row>25</xdr:row>
          <xdr:rowOff>266700</xdr:rowOff>
        </xdr:to>
        <xdr:sp macro="" textlink="">
          <xdr:nvSpPr>
            <xdr:cNvPr id="1252" name="Button 228" hidden="1">
              <a:extLst>
                <a:ext uri="{63B3BB69-23CF-44E3-9099-C40C66FF867C}">
                  <a14:compatExt spid="_x0000_s1252"/>
                </a:ext>
                <a:ext uri="{FF2B5EF4-FFF2-40B4-BE49-F238E27FC236}">
                  <a16:creationId xmlns:a16="http://schemas.microsoft.com/office/drawing/2014/main" id="{00000000-0008-0000-0000-0000E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27</xdr:row>
          <xdr:rowOff>19050</xdr:rowOff>
        </xdr:from>
        <xdr:to>
          <xdr:col>16</xdr:col>
          <xdr:colOff>447675</xdr:colOff>
          <xdr:row>27</xdr:row>
          <xdr:rowOff>266700</xdr:rowOff>
        </xdr:to>
        <xdr:sp macro="" textlink="">
          <xdr:nvSpPr>
            <xdr:cNvPr id="1253" name="Button 229" hidden="1">
              <a:extLst>
                <a:ext uri="{63B3BB69-23CF-44E3-9099-C40C66FF867C}">
                  <a14:compatExt spid="_x0000_s1253"/>
                </a:ext>
                <a:ext uri="{FF2B5EF4-FFF2-40B4-BE49-F238E27FC236}">
                  <a16:creationId xmlns:a16="http://schemas.microsoft.com/office/drawing/2014/main" id="{00000000-0008-0000-0000-0000E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27</a:t>
              </a:r>
            </a:p>
            <a:p>
              <a:pPr algn="ctr" rtl="0">
                <a:defRPr sz="1000"/>
              </a:pPr>
              <a:endParaRPr lang="it-IT" sz="1100" b="1" i="0" u="none" strike="noStrike" baseline="0">
                <a:solidFill>
                  <a:srgbClr val="000000"/>
                </a:solidFill>
                <a:latin typeface="Calibri"/>
                <a:cs typeface="Calibri"/>
              </a:endParaRP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28</xdr:row>
          <xdr:rowOff>19050</xdr:rowOff>
        </xdr:from>
        <xdr:to>
          <xdr:col>16</xdr:col>
          <xdr:colOff>447675</xdr:colOff>
          <xdr:row>28</xdr:row>
          <xdr:rowOff>266700</xdr:rowOff>
        </xdr:to>
        <xdr:sp macro="" textlink="">
          <xdr:nvSpPr>
            <xdr:cNvPr id="1254" name="Button 230" hidden="1">
              <a:extLst>
                <a:ext uri="{63B3BB69-23CF-44E3-9099-C40C66FF867C}">
                  <a14:compatExt spid="_x0000_s1254"/>
                </a:ext>
                <a:ext uri="{FF2B5EF4-FFF2-40B4-BE49-F238E27FC236}">
                  <a16:creationId xmlns:a16="http://schemas.microsoft.com/office/drawing/2014/main" id="{00000000-0008-0000-0000-0000E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28</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29</xdr:row>
          <xdr:rowOff>19050</xdr:rowOff>
        </xdr:from>
        <xdr:to>
          <xdr:col>16</xdr:col>
          <xdr:colOff>447675</xdr:colOff>
          <xdr:row>29</xdr:row>
          <xdr:rowOff>266700</xdr:rowOff>
        </xdr:to>
        <xdr:sp macro="" textlink="">
          <xdr:nvSpPr>
            <xdr:cNvPr id="1255" name="Button 231" hidden="1">
              <a:extLst>
                <a:ext uri="{63B3BB69-23CF-44E3-9099-C40C66FF867C}">
                  <a14:compatExt spid="_x0000_s1255"/>
                </a:ext>
                <a:ext uri="{FF2B5EF4-FFF2-40B4-BE49-F238E27FC236}">
                  <a16:creationId xmlns:a16="http://schemas.microsoft.com/office/drawing/2014/main" id="{00000000-0008-0000-0000-0000E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30</xdr:row>
          <xdr:rowOff>19050</xdr:rowOff>
        </xdr:from>
        <xdr:to>
          <xdr:col>16</xdr:col>
          <xdr:colOff>447675</xdr:colOff>
          <xdr:row>30</xdr:row>
          <xdr:rowOff>266700</xdr:rowOff>
        </xdr:to>
        <xdr:sp macro="" textlink="">
          <xdr:nvSpPr>
            <xdr:cNvPr id="1256" name="Button 232" hidden="1">
              <a:extLst>
                <a:ext uri="{63B3BB69-23CF-44E3-9099-C40C66FF867C}">
                  <a14:compatExt spid="_x0000_s1256"/>
                </a:ext>
                <a:ext uri="{FF2B5EF4-FFF2-40B4-BE49-F238E27FC236}">
                  <a16:creationId xmlns:a16="http://schemas.microsoft.com/office/drawing/2014/main" id="{00000000-0008-0000-0000-0000E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30</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31</xdr:row>
          <xdr:rowOff>19050</xdr:rowOff>
        </xdr:from>
        <xdr:to>
          <xdr:col>16</xdr:col>
          <xdr:colOff>447675</xdr:colOff>
          <xdr:row>31</xdr:row>
          <xdr:rowOff>266700</xdr:rowOff>
        </xdr:to>
        <xdr:sp macro="" textlink="">
          <xdr:nvSpPr>
            <xdr:cNvPr id="1257" name="Button 233" hidden="1">
              <a:extLst>
                <a:ext uri="{63B3BB69-23CF-44E3-9099-C40C66FF867C}">
                  <a14:compatExt spid="_x0000_s1257"/>
                </a:ext>
                <a:ext uri="{FF2B5EF4-FFF2-40B4-BE49-F238E27FC236}">
                  <a16:creationId xmlns:a16="http://schemas.microsoft.com/office/drawing/2014/main" id="{00000000-0008-0000-0000-0000E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32</xdr:row>
          <xdr:rowOff>19050</xdr:rowOff>
        </xdr:from>
        <xdr:to>
          <xdr:col>16</xdr:col>
          <xdr:colOff>447675</xdr:colOff>
          <xdr:row>32</xdr:row>
          <xdr:rowOff>266700</xdr:rowOff>
        </xdr:to>
        <xdr:sp macro="" textlink="">
          <xdr:nvSpPr>
            <xdr:cNvPr id="1258" name="Button 234" hidden="1">
              <a:extLst>
                <a:ext uri="{63B3BB69-23CF-44E3-9099-C40C66FF867C}">
                  <a14:compatExt spid="_x0000_s1258"/>
                </a:ext>
                <a:ext uri="{FF2B5EF4-FFF2-40B4-BE49-F238E27FC236}">
                  <a16:creationId xmlns:a16="http://schemas.microsoft.com/office/drawing/2014/main" id="{00000000-0008-0000-0000-0000E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33</xdr:row>
          <xdr:rowOff>19050</xdr:rowOff>
        </xdr:from>
        <xdr:to>
          <xdr:col>16</xdr:col>
          <xdr:colOff>447675</xdr:colOff>
          <xdr:row>33</xdr:row>
          <xdr:rowOff>266700</xdr:rowOff>
        </xdr:to>
        <xdr:sp macro="" textlink="">
          <xdr:nvSpPr>
            <xdr:cNvPr id="1259" name="Button 235" hidden="1">
              <a:extLst>
                <a:ext uri="{63B3BB69-23CF-44E3-9099-C40C66FF867C}">
                  <a14:compatExt spid="_x0000_s1259"/>
                </a:ext>
                <a:ext uri="{FF2B5EF4-FFF2-40B4-BE49-F238E27FC236}">
                  <a16:creationId xmlns:a16="http://schemas.microsoft.com/office/drawing/2014/main" id="{00000000-0008-0000-0000-0000E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34</xdr:row>
          <xdr:rowOff>19050</xdr:rowOff>
        </xdr:from>
        <xdr:to>
          <xdr:col>16</xdr:col>
          <xdr:colOff>447675</xdr:colOff>
          <xdr:row>34</xdr:row>
          <xdr:rowOff>266700</xdr:rowOff>
        </xdr:to>
        <xdr:sp macro="" textlink="">
          <xdr:nvSpPr>
            <xdr:cNvPr id="1260" name="Button 236" hidden="1">
              <a:extLst>
                <a:ext uri="{63B3BB69-23CF-44E3-9099-C40C66FF867C}">
                  <a14:compatExt spid="_x0000_s1260"/>
                </a:ext>
                <a:ext uri="{FF2B5EF4-FFF2-40B4-BE49-F238E27FC236}">
                  <a16:creationId xmlns:a16="http://schemas.microsoft.com/office/drawing/2014/main" id="{00000000-0008-0000-0000-0000E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35</xdr:row>
          <xdr:rowOff>19050</xdr:rowOff>
        </xdr:from>
        <xdr:to>
          <xdr:col>16</xdr:col>
          <xdr:colOff>447675</xdr:colOff>
          <xdr:row>35</xdr:row>
          <xdr:rowOff>266700</xdr:rowOff>
        </xdr:to>
        <xdr:sp macro="" textlink="">
          <xdr:nvSpPr>
            <xdr:cNvPr id="1261" name="Button 237" hidden="1">
              <a:extLst>
                <a:ext uri="{63B3BB69-23CF-44E3-9099-C40C66FF867C}">
                  <a14:compatExt spid="_x0000_s1261"/>
                </a:ext>
                <a:ext uri="{FF2B5EF4-FFF2-40B4-BE49-F238E27FC236}">
                  <a16:creationId xmlns:a16="http://schemas.microsoft.com/office/drawing/2014/main" id="{00000000-0008-0000-0000-0000E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36</xdr:row>
          <xdr:rowOff>19050</xdr:rowOff>
        </xdr:from>
        <xdr:to>
          <xdr:col>16</xdr:col>
          <xdr:colOff>447675</xdr:colOff>
          <xdr:row>36</xdr:row>
          <xdr:rowOff>266700</xdr:rowOff>
        </xdr:to>
        <xdr:sp macro="" textlink="">
          <xdr:nvSpPr>
            <xdr:cNvPr id="1262" name="Button 238" hidden="1">
              <a:extLst>
                <a:ext uri="{63B3BB69-23CF-44E3-9099-C40C66FF867C}">
                  <a14:compatExt spid="_x0000_s1262"/>
                </a:ext>
                <a:ext uri="{FF2B5EF4-FFF2-40B4-BE49-F238E27FC236}">
                  <a16:creationId xmlns:a16="http://schemas.microsoft.com/office/drawing/2014/main" id="{00000000-0008-0000-0000-0000E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37</xdr:row>
          <xdr:rowOff>19050</xdr:rowOff>
        </xdr:from>
        <xdr:to>
          <xdr:col>16</xdr:col>
          <xdr:colOff>447675</xdr:colOff>
          <xdr:row>37</xdr:row>
          <xdr:rowOff>266700</xdr:rowOff>
        </xdr:to>
        <xdr:sp macro="" textlink="">
          <xdr:nvSpPr>
            <xdr:cNvPr id="1263" name="Button 239" hidden="1">
              <a:extLst>
                <a:ext uri="{63B3BB69-23CF-44E3-9099-C40C66FF867C}">
                  <a14:compatExt spid="_x0000_s1263"/>
                </a:ext>
                <a:ext uri="{FF2B5EF4-FFF2-40B4-BE49-F238E27FC236}">
                  <a16:creationId xmlns:a16="http://schemas.microsoft.com/office/drawing/2014/main" id="{00000000-0008-0000-0000-0000E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38</xdr:row>
          <xdr:rowOff>19050</xdr:rowOff>
        </xdr:from>
        <xdr:to>
          <xdr:col>16</xdr:col>
          <xdr:colOff>447675</xdr:colOff>
          <xdr:row>38</xdr:row>
          <xdr:rowOff>266700</xdr:rowOff>
        </xdr:to>
        <xdr:sp macro="" textlink="">
          <xdr:nvSpPr>
            <xdr:cNvPr id="1264" name="Button 240" hidden="1">
              <a:extLst>
                <a:ext uri="{63B3BB69-23CF-44E3-9099-C40C66FF867C}">
                  <a14:compatExt spid="_x0000_s1264"/>
                </a:ext>
                <a:ext uri="{FF2B5EF4-FFF2-40B4-BE49-F238E27FC236}">
                  <a16:creationId xmlns:a16="http://schemas.microsoft.com/office/drawing/2014/main" id="{00000000-0008-0000-0000-0000F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39</xdr:row>
          <xdr:rowOff>19050</xdr:rowOff>
        </xdr:from>
        <xdr:to>
          <xdr:col>16</xdr:col>
          <xdr:colOff>447675</xdr:colOff>
          <xdr:row>39</xdr:row>
          <xdr:rowOff>266700</xdr:rowOff>
        </xdr:to>
        <xdr:sp macro="" textlink="">
          <xdr:nvSpPr>
            <xdr:cNvPr id="1265" name="Button 241" hidden="1">
              <a:extLst>
                <a:ext uri="{63B3BB69-23CF-44E3-9099-C40C66FF867C}">
                  <a14:compatExt spid="_x0000_s1265"/>
                </a:ext>
                <a:ext uri="{FF2B5EF4-FFF2-40B4-BE49-F238E27FC236}">
                  <a16:creationId xmlns:a16="http://schemas.microsoft.com/office/drawing/2014/main" id="{00000000-0008-0000-0000-0000F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39</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40</xdr:row>
          <xdr:rowOff>19050</xdr:rowOff>
        </xdr:from>
        <xdr:to>
          <xdr:col>16</xdr:col>
          <xdr:colOff>447675</xdr:colOff>
          <xdr:row>40</xdr:row>
          <xdr:rowOff>266700</xdr:rowOff>
        </xdr:to>
        <xdr:sp macro="" textlink="">
          <xdr:nvSpPr>
            <xdr:cNvPr id="1266" name="Button 242" hidden="1">
              <a:extLst>
                <a:ext uri="{63B3BB69-23CF-44E3-9099-C40C66FF867C}">
                  <a14:compatExt spid="_x0000_s1266"/>
                </a:ext>
                <a:ext uri="{FF2B5EF4-FFF2-40B4-BE49-F238E27FC236}">
                  <a16:creationId xmlns:a16="http://schemas.microsoft.com/office/drawing/2014/main" id="{00000000-0008-0000-0000-0000F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40</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41</xdr:row>
          <xdr:rowOff>19050</xdr:rowOff>
        </xdr:from>
        <xdr:to>
          <xdr:col>16</xdr:col>
          <xdr:colOff>447675</xdr:colOff>
          <xdr:row>41</xdr:row>
          <xdr:rowOff>266700</xdr:rowOff>
        </xdr:to>
        <xdr:sp macro="" textlink="">
          <xdr:nvSpPr>
            <xdr:cNvPr id="1267" name="Button 243" hidden="1">
              <a:extLst>
                <a:ext uri="{63B3BB69-23CF-44E3-9099-C40C66FF867C}">
                  <a14:compatExt spid="_x0000_s1267"/>
                </a:ext>
                <a:ext uri="{FF2B5EF4-FFF2-40B4-BE49-F238E27FC236}">
                  <a16:creationId xmlns:a16="http://schemas.microsoft.com/office/drawing/2014/main" id="{00000000-0008-0000-0000-0000F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42</xdr:row>
          <xdr:rowOff>19050</xdr:rowOff>
        </xdr:from>
        <xdr:to>
          <xdr:col>16</xdr:col>
          <xdr:colOff>447675</xdr:colOff>
          <xdr:row>42</xdr:row>
          <xdr:rowOff>266700</xdr:rowOff>
        </xdr:to>
        <xdr:sp macro="" textlink="">
          <xdr:nvSpPr>
            <xdr:cNvPr id="1268" name="Button 244"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43</xdr:row>
          <xdr:rowOff>19050</xdr:rowOff>
        </xdr:from>
        <xdr:to>
          <xdr:col>16</xdr:col>
          <xdr:colOff>447675</xdr:colOff>
          <xdr:row>43</xdr:row>
          <xdr:rowOff>266700</xdr:rowOff>
        </xdr:to>
        <xdr:sp macro="" textlink="">
          <xdr:nvSpPr>
            <xdr:cNvPr id="1269" name="Button 245" hidden="1">
              <a:extLst>
                <a:ext uri="{63B3BB69-23CF-44E3-9099-C40C66FF867C}">
                  <a14:compatExt spid="_x0000_s1269"/>
                </a:ext>
                <a:ext uri="{FF2B5EF4-FFF2-40B4-BE49-F238E27FC236}">
                  <a16:creationId xmlns:a16="http://schemas.microsoft.com/office/drawing/2014/main" id="{00000000-0008-0000-0000-0000F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44</xdr:row>
          <xdr:rowOff>19050</xdr:rowOff>
        </xdr:from>
        <xdr:to>
          <xdr:col>16</xdr:col>
          <xdr:colOff>447675</xdr:colOff>
          <xdr:row>44</xdr:row>
          <xdr:rowOff>266700</xdr:rowOff>
        </xdr:to>
        <xdr:sp macro="" textlink="">
          <xdr:nvSpPr>
            <xdr:cNvPr id="1270" name="Button 246" hidden="1">
              <a:extLst>
                <a:ext uri="{63B3BB69-23CF-44E3-9099-C40C66FF867C}">
                  <a14:compatExt spid="_x0000_s1270"/>
                </a:ext>
                <a:ext uri="{FF2B5EF4-FFF2-40B4-BE49-F238E27FC236}">
                  <a16:creationId xmlns:a16="http://schemas.microsoft.com/office/drawing/2014/main" id="{00000000-0008-0000-0000-0000F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45</xdr:row>
          <xdr:rowOff>19050</xdr:rowOff>
        </xdr:from>
        <xdr:to>
          <xdr:col>16</xdr:col>
          <xdr:colOff>447675</xdr:colOff>
          <xdr:row>45</xdr:row>
          <xdr:rowOff>266700</xdr:rowOff>
        </xdr:to>
        <xdr:sp macro="" textlink="">
          <xdr:nvSpPr>
            <xdr:cNvPr id="1271" name="Button 247" hidden="1">
              <a:extLst>
                <a:ext uri="{63B3BB69-23CF-44E3-9099-C40C66FF867C}">
                  <a14:compatExt spid="_x0000_s1271"/>
                </a:ext>
                <a:ext uri="{FF2B5EF4-FFF2-40B4-BE49-F238E27FC236}">
                  <a16:creationId xmlns:a16="http://schemas.microsoft.com/office/drawing/2014/main" id="{00000000-0008-0000-0000-0000F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45</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46</xdr:row>
          <xdr:rowOff>19050</xdr:rowOff>
        </xdr:from>
        <xdr:to>
          <xdr:col>16</xdr:col>
          <xdr:colOff>447675</xdr:colOff>
          <xdr:row>46</xdr:row>
          <xdr:rowOff>266700</xdr:rowOff>
        </xdr:to>
        <xdr:sp macro="" textlink="">
          <xdr:nvSpPr>
            <xdr:cNvPr id="1272" name="Button 248" hidden="1">
              <a:extLst>
                <a:ext uri="{63B3BB69-23CF-44E3-9099-C40C66FF867C}">
                  <a14:compatExt spid="_x0000_s1272"/>
                </a:ext>
                <a:ext uri="{FF2B5EF4-FFF2-40B4-BE49-F238E27FC236}">
                  <a16:creationId xmlns:a16="http://schemas.microsoft.com/office/drawing/2014/main" id="{00000000-0008-0000-0000-0000F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47</xdr:row>
          <xdr:rowOff>19050</xdr:rowOff>
        </xdr:from>
        <xdr:to>
          <xdr:col>16</xdr:col>
          <xdr:colOff>447675</xdr:colOff>
          <xdr:row>47</xdr:row>
          <xdr:rowOff>266700</xdr:rowOff>
        </xdr:to>
        <xdr:sp macro="" textlink="">
          <xdr:nvSpPr>
            <xdr:cNvPr id="1273" name="Button 249" hidden="1">
              <a:extLst>
                <a:ext uri="{63B3BB69-23CF-44E3-9099-C40C66FF867C}">
                  <a14:compatExt spid="_x0000_s1273"/>
                </a:ext>
                <a:ext uri="{FF2B5EF4-FFF2-40B4-BE49-F238E27FC236}">
                  <a16:creationId xmlns:a16="http://schemas.microsoft.com/office/drawing/2014/main" id="{00000000-0008-0000-0000-0000F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48</xdr:row>
          <xdr:rowOff>19050</xdr:rowOff>
        </xdr:from>
        <xdr:to>
          <xdr:col>16</xdr:col>
          <xdr:colOff>447675</xdr:colOff>
          <xdr:row>48</xdr:row>
          <xdr:rowOff>266700</xdr:rowOff>
        </xdr:to>
        <xdr:sp macro="" textlink="">
          <xdr:nvSpPr>
            <xdr:cNvPr id="1274" name="Button 250" hidden="1">
              <a:extLst>
                <a:ext uri="{63B3BB69-23CF-44E3-9099-C40C66FF867C}">
                  <a14:compatExt spid="_x0000_s1274"/>
                </a:ext>
                <a:ext uri="{FF2B5EF4-FFF2-40B4-BE49-F238E27FC236}">
                  <a16:creationId xmlns:a16="http://schemas.microsoft.com/office/drawing/2014/main" id="{00000000-0008-0000-0000-0000F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48</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49</xdr:row>
          <xdr:rowOff>19050</xdr:rowOff>
        </xdr:from>
        <xdr:to>
          <xdr:col>16</xdr:col>
          <xdr:colOff>447675</xdr:colOff>
          <xdr:row>49</xdr:row>
          <xdr:rowOff>266700</xdr:rowOff>
        </xdr:to>
        <xdr:sp macro="" textlink="">
          <xdr:nvSpPr>
            <xdr:cNvPr id="1275" name="Button 251" hidden="1">
              <a:extLst>
                <a:ext uri="{63B3BB69-23CF-44E3-9099-C40C66FF867C}">
                  <a14:compatExt spid="_x0000_s1275"/>
                </a:ext>
                <a:ext uri="{FF2B5EF4-FFF2-40B4-BE49-F238E27FC236}">
                  <a16:creationId xmlns:a16="http://schemas.microsoft.com/office/drawing/2014/main" id="{00000000-0008-0000-0000-0000F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49</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53</xdr:row>
          <xdr:rowOff>19050</xdr:rowOff>
        </xdr:from>
        <xdr:to>
          <xdr:col>16</xdr:col>
          <xdr:colOff>447675</xdr:colOff>
          <xdr:row>53</xdr:row>
          <xdr:rowOff>266700</xdr:rowOff>
        </xdr:to>
        <xdr:sp macro="" textlink="">
          <xdr:nvSpPr>
            <xdr:cNvPr id="1276" name="Button 252" hidden="1">
              <a:extLst>
                <a:ext uri="{63B3BB69-23CF-44E3-9099-C40C66FF867C}">
                  <a14:compatExt spid="_x0000_s1276"/>
                </a:ext>
                <a:ext uri="{FF2B5EF4-FFF2-40B4-BE49-F238E27FC236}">
                  <a16:creationId xmlns:a16="http://schemas.microsoft.com/office/drawing/2014/main" id="{00000000-0008-0000-0000-0000F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53</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54</xdr:row>
          <xdr:rowOff>19050</xdr:rowOff>
        </xdr:from>
        <xdr:to>
          <xdr:col>16</xdr:col>
          <xdr:colOff>447675</xdr:colOff>
          <xdr:row>54</xdr:row>
          <xdr:rowOff>266700</xdr:rowOff>
        </xdr:to>
        <xdr:sp macro="" textlink="">
          <xdr:nvSpPr>
            <xdr:cNvPr id="1277" name="Button 253" hidden="1">
              <a:extLst>
                <a:ext uri="{63B3BB69-23CF-44E3-9099-C40C66FF867C}">
                  <a14:compatExt spid="_x0000_s1277"/>
                </a:ext>
                <a:ext uri="{FF2B5EF4-FFF2-40B4-BE49-F238E27FC236}">
                  <a16:creationId xmlns:a16="http://schemas.microsoft.com/office/drawing/2014/main" id="{00000000-0008-0000-0000-0000F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54</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55</xdr:row>
          <xdr:rowOff>19050</xdr:rowOff>
        </xdr:from>
        <xdr:to>
          <xdr:col>16</xdr:col>
          <xdr:colOff>447675</xdr:colOff>
          <xdr:row>55</xdr:row>
          <xdr:rowOff>266700</xdr:rowOff>
        </xdr:to>
        <xdr:sp macro="" textlink="">
          <xdr:nvSpPr>
            <xdr:cNvPr id="1278" name="Button 254" hidden="1">
              <a:extLst>
                <a:ext uri="{63B3BB69-23CF-44E3-9099-C40C66FF867C}">
                  <a14:compatExt spid="_x0000_s1278"/>
                </a:ext>
                <a:ext uri="{FF2B5EF4-FFF2-40B4-BE49-F238E27FC236}">
                  <a16:creationId xmlns:a16="http://schemas.microsoft.com/office/drawing/2014/main" id="{00000000-0008-0000-0000-0000F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56</xdr:row>
          <xdr:rowOff>19050</xdr:rowOff>
        </xdr:from>
        <xdr:to>
          <xdr:col>16</xdr:col>
          <xdr:colOff>447675</xdr:colOff>
          <xdr:row>56</xdr:row>
          <xdr:rowOff>266700</xdr:rowOff>
        </xdr:to>
        <xdr:sp macro="" textlink="">
          <xdr:nvSpPr>
            <xdr:cNvPr id="1279" name="Button 255" hidden="1">
              <a:extLst>
                <a:ext uri="{63B3BB69-23CF-44E3-9099-C40C66FF867C}">
                  <a14:compatExt spid="_x0000_s1279"/>
                </a:ext>
                <a:ext uri="{FF2B5EF4-FFF2-40B4-BE49-F238E27FC236}">
                  <a16:creationId xmlns:a16="http://schemas.microsoft.com/office/drawing/2014/main" id="{00000000-0008-0000-0000-0000F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57</xdr:row>
          <xdr:rowOff>19050</xdr:rowOff>
        </xdr:from>
        <xdr:to>
          <xdr:col>16</xdr:col>
          <xdr:colOff>447675</xdr:colOff>
          <xdr:row>57</xdr:row>
          <xdr:rowOff>266700</xdr:rowOff>
        </xdr:to>
        <xdr:sp macro="" textlink="">
          <xdr:nvSpPr>
            <xdr:cNvPr id="1280" name="Button 256" hidden="1">
              <a:extLst>
                <a:ext uri="{63B3BB69-23CF-44E3-9099-C40C66FF867C}">
                  <a14:compatExt spid="_x0000_s1280"/>
                </a:ext>
                <a:ext uri="{FF2B5EF4-FFF2-40B4-BE49-F238E27FC236}">
                  <a16:creationId xmlns:a16="http://schemas.microsoft.com/office/drawing/2014/main" id="{00000000-0008-0000-0000-00000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58</xdr:row>
          <xdr:rowOff>19050</xdr:rowOff>
        </xdr:from>
        <xdr:to>
          <xdr:col>16</xdr:col>
          <xdr:colOff>447675</xdr:colOff>
          <xdr:row>58</xdr:row>
          <xdr:rowOff>266700</xdr:rowOff>
        </xdr:to>
        <xdr:sp macro="" textlink="">
          <xdr:nvSpPr>
            <xdr:cNvPr id="1281" name="Button 257" hidden="1">
              <a:extLst>
                <a:ext uri="{63B3BB69-23CF-44E3-9099-C40C66FF867C}">
                  <a14:compatExt spid="_x0000_s1281"/>
                </a:ext>
                <a:ext uri="{FF2B5EF4-FFF2-40B4-BE49-F238E27FC236}">
                  <a16:creationId xmlns:a16="http://schemas.microsoft.com/office/drawing/2014/main" id="{00000000-0008-0000-0000-00000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59</xdr:row>
          <xdr:rowOff>19050</xdr:rowOff>
        </xdr:from>
        <xdr:to>
          <xdr:col>16</xdr:col>
          <xdr:colOff>447675</xdr:colOff>
          <xdr:row>59</xdr:row>
          <xdr:rowOff>266700</xdr:rowOff>
        </xdr:to>
        <xdr:sp macro="" textlink="">
          <xdr:nvSpPr>
            <xdr:cNvPr id="1282" name="Button 258" hidden="1">
              <a:extLst>
                <a:ext uri="{63B3BB69-23CF-44E3-9099-C40C66FF867C}">
                  <a14:compatExt spid="_x0000_s1282"/>
                </a:ext>
                <a:ext uri="{FF2B5EF4-FFF2-40B4-BE49-F238E27FC236}">
                  <a16:creationId xmlns:a16="http://schemas.microsoft.com/office/drawing/2014/main" id="{00000000-0008-0000-0000-00000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60</xdr:row>
          <xdr:rowOff>19050</xdr:rowOff>
        </xdr:from>
        <xdr:to>
          <xdr:col>16</xdr:col>
          <xdr:colOff>447675</xdr:colOff>
          <xdr:row>60</xdr:row>
          <xdr:rowOff>266700</xdr:rowOff>
        </xdr:to>
        <xdr:sp macro="" textlink="">
          <xdr:nvSpPr>
            <xdr:cNvPr id="1283" name="Button 259" hidden="1">
              <a:extLst>
                <a:ext uri="{63B3BB69-23CF-44E3-9099-C40C66FF867C}">
                  <a14:compatExt spid="_x0000_s1283"/>
                </a:ext>
                <a:ext uri="{FF2B5EF4-FFF2-40B4-BE49-F238E27FC236}">
                  <a16:creationId xmlns:a16="http://schemas.microsoft.com/office/drawing/2014/main" id="{00000000-0008-0000-0000-00000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61</xdr:row>
          <xdr:rowOff>19050</xdr:rowOff>
        </xdr:from>
        <xdr:to>
          <xdr:col>16</xdr:col>
          <xdr:colOff>447675</xdr:colOff>
          <xdr:row>61</xdr:row>
          <xdr:rowOff>266700</xdr:rowOff>
        </xdr:to>
        <xdr:sp macro="" textlink="">
          <xdr:nvSpPr>
            <xdr:cNvPr id="1284" name="Button 260" hidden="1">
              <a:extLst>
                <a:ext uri="{63B3BB69-23CF-44E3-9099-C40C66FF867C}">
                  <a14:compatExt spid="_x0000_s1284"/>
                </a:ext>
                <a:ext uri="{FF2B5EF4-FFF2-40B4-BE49-F238E27FC236}">
                  <a16:creationId xmlns:a16="http://schemas.microsoft.com/office/drawing/2014/main" id="{00000000-0008-0000-0000-00000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62</xdr:row>
          <xdr:rowOff>19050</xdr:rowOff>
        </xdr:from>
        <xdr:to>
          <xdr:col>16</xdr:col>
          <xdr:colOff>447675</xdr:colOff>
          <xdr:row>62</xdr:row>
          <xdr:rowOff>266700</xdr:rowOff>
        </xdr:to>
        <xdr:sp macro="" textlink="">
          <xdr:nvSpPr>
            <xdr:cNvPr id="1285" name="Button 261"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62</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63</xdr:row>
          <xdr:rowOff>19050</xdr:rowOff>
        </xdr:from>
        <xdr:to>
          <xdr:col>16</xdr:col>
          <xdr:colOff>447675</xdr:colOff>
          <xdr:row>63</xdr:row>
          <xdr:rowOff>266700</xdr:rowOff>
        </xdr:to>
        <xdr:sp macro="" textlink="">
          <xdr:nvSpPr>
            <xdr:cNvPr id="1286" name="Button 262"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64</xdr:row>
          <xdr:rowOff>19050</xdr:rowOff>
        </xdr:from>
        <xdr:to>
          <xdr:col>16</xdr:col>
          <xdr:colOff>447675</xdr:colOff>
          <xdr:row>64</xdr:row>
          <xdr:rowOff>266700</xdr:rowOff>
        </xdr:to>
        <xdr:sp macro="" textlink="">
          <xdr:nvSpPr>
            <xdr:cNvPr id="1287" name="Button 263" hidden="1">
              <a:extLst>
                <a:ext uri="{63B3BB69-23CF-44E3-9099-C40C66FF867C}">
                  <a14:compatExt spid="_x0000_s1287"/>
                </a:ext>
                <a:ext uri="{FF2B5EF4-FFF2-40B4-BE49-F238E27FC236}">
                  <a16:creationId xmlns:a16="http://schemas.microsoft.com/office/drawing/2014/main" id="{00000000-0008-0000-0000-00000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65</xdr:row>
          <xdr:rowOff>19050</xdr:rowOff>
        </xdr:from>
        <xdr:to>
          <xdr:col>16</xdr:col>
          <xdr:colOff>447675</xdr:colOff>
          <xdr:row>65</xdr:row>
          <xdr:rowOff>266700</xdr:rowOff>
        </xdr:to>
        <xdr:sp macro="" textlink="">
          <xdr:nvSpPr>
            <xdr:cNvPr id="1288" name="Button 264" hidden="1">
              <a:extLst>
                <a:ext uri="{63B3BB69-23CF-44E3-9099-C40C66FF867C}">
                  <a14:compatExt spid="_x0000_s1288"/>
                </a:ext>
                <a:ext uri="{FF2B5EF4-FFF2-40B4-BE49-F238E27FC236}">
                  <a16:creationId xmlns:a16="http://schemas.microsoft.com/office/drawing/2014/main" id="{00000000-0008-0000-0000-00000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66</xdr:row>
          <xdr:rowOff>19050</xdr:rowOff>
        </xdr:from>
        <xdr:to>
          <xdr:col>16</xdr:col>
          <xdr:colOff>447675</xdr:colOff>
          <xdr:row>66</xdr:row>
          <xdr:rowOff>266700</xdr:rowOff>
        </xdr:to>
        <xdr:sp macro="" textlink="">
          <xdr:nvSpPr>
            <xdr:cNvPr id="1289" name="Button 265" hidden="1">
              <a:extLst>
                <a:ext uri="{63B3BB69-23CF-44E3-9099-C40C66FF867C}">
                  <a14:compatExt spid="_x0000_s1289"/>
                </a:ext>
                <a:ext uri="{FF2B5EF4-FFF2-40B4-BE49-F238E27FC236}">
                  <a16:creationId xmlns:a16="http://schemas.microsoft.com/office/drawing/2014/main" id="{00000000-0008-0000-0000-00000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67</xdr:row>
          <xdr:rowOff>19050</xdr:rowOff>
        </xdr:from>
        <xdr:to>
          <xdr:col>16</xdr:col>
          <xdr:colOff>447675</xdr:colOff>
          <xdr:row>67</xdr:row>
          <xdr:rowOff>266700</xdr:rowOff>
        </xdr:to>
        <xdr:sp macro="" textlink="">
          <xdr:nvSpPr>
            <xdr:cNvPr id="1290" name="Button 266" hidden="1">
              <a:extLst>
                <a:ext uri="{63B3BB69-23CF-44E3-9099-C40C66FF867C}">
                  <a14:compatExt spid="_x0000_s1290"/>
                </a:ext>
                <a:ext uri="{FF2B5EF4-FFF2-40B4-BE49-F238E27FC236}">
                  <a16:creationId xmlns:a16="http://schemas.microsoft.com/office/drawing/2014/main" id="{00000000-0008-0000-0000-00000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68</xdr:row>
          <xdr:rowOff>19050</xdr:rowOff>
        </xdr:from>
        <xdr:to>
          <xdr:col>16</xdr:col>
          <xdr:colOff>447675</xdr:colOff>
          <xdr:row>68</xdr:row>
          <xdr:rowOff>266700</xdr:rowOff>
        </xdr:to>
        <xdr:sp macro="" textlink="">
          <xdr:nvSpPr>
            <xdr:cNvPr id="1291" name="Button 267"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69</xdr:row>
          <xdr:rowOff>19050</xdr:rowOff>
        </xdr:from>
        <xdr:to>
          <xdr:col>16</xdr:col>
          <xdr:colOff>447675</xdr:colOff>
          <xdr:row>69</xdr:row>
          <xdr:rowOff>266700</xdr:rowOff>
        </xdr:to>
        <xdr:sp macro="" textlink="">
          <xdr:nvSpPr>
            <xdr:cNvPr id="1292" name="Button 268"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70</xdr:row>
          <xdr:rowOff>19050</xdr:rowOff>
        </xdr:from>
        <xdr:to>
          <xdr:col>16</xdr:col>
          <xdr:colOff>447675</xdr:colOff>
          <xdr:row>70</xdr:row>
          <xdr:rowOff>266700</xdr:rowOff>
        </xdr:to>
        <xdr:sp macro="" textlink="">
          <xdr:nvSpPr>
            <xdr:cNvPr id="1293" name="Button 269"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71</xdr:row>
          <xdr:rowOff>19050</xdr:rowOff>
        </xdr:from>
        <xdr:to>
          <xdr:col>16</xdr:col>
          <xdr:colOff>447675</xdr:colOff>
          <xdr:row>71</xdr:row>
          <xdr:rowOff>266700</xdr:rowOff>
        </xdr:to>
        <xdr:sp macro="" textlink="">
          <xdr:nvSpPr>
            <xdr:cNvPr id="1294" name="Button 270" hidden="1">
              <a:extLst>
                <a:ext uri="{63B3BB69-23CF-44E3-9099-C40C66FF867C}">
                  <a14:compatExt spid="_x0000_s1294"/>
                </a:ext>
                <a:ext uri="{FF2B5EF4-FFF2-40B4-BE49-F238E27FC236}">
                  <a16:creationId xmlns:a16="http://schemas.microsoft.com/office/drawing/2014/main" id="{00000000-0008-0000-0000-00000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72</xdr:row>
          <xdr:rowOff>19050</xdr:rowOff>
        </xdr:from>
        <xdr:to>
          <xdr:col>16</xdr:col>
          <xdr:colOff>447675</xdr:colOff>
          <xdr:row>72</xdr:row>
          <xdr:rowOff>266700</xdr:rowOff>
        </xdr:to>
        <xdr:sp macro="" textlink="">
          <xdr:nvSpPr>
            <xdr:cNvPr id="1295" name="Button 271" hidden="1">
              <a:extLst>
                <a:ext uri="{63B3BB69-23CF-44E3-9099-C40C66FF867C}">
                  <a14:compatExt spid="_x0000_s1295"/>
                </a:ext>
                <a:ext uri="{FF2B5EF4-FFF2-40B4-BE49-F238E27FC236}">
                  <a16:creationId xmlns:a16="http://schemas.microsoft.com/office/drawing/2014/main" id="{00000000-0008-0000-0000-00000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73</xdr:row>
          <xdr:rowOff>19050</xdr:rowOff>
        </xdr:from>
        <xdr:to>
          <xdr:col>16</xdr:col>
          <xdr:colOff>447675</xdr:colOff>
          <xdr:row>73</xdr:row>
          <xdr:rowOff>266700</xdr:rowOff>
        </xdr:to>
        <xdr:sp macro="" textlink="">
          <xdr:nvSpPr>
            <xdr:cNvPr id="1296" name="Button 272" hidden="1">
              <a:extLst>
                <a:ext uri="{63B3BB69-23CF-44E3-9099-C40C66FF867C}">
                  <a14:compatExt spid="_x0000_s1296"/>
                </a:ext>
                <a:ext uri="{FF2B5EF4-FFF2-40B4-BE49-F238E27FC236}">
                  <a16:creationId xmlns:a16="http://schemas.microsoft.com/office/drawing/2014/main" id="{00000000-0008-0000-0000-00001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75</xdr:row>
          <xdr:rowOff>19050</xdr:rowOff>
        </xdr:from>
        <xdr:to>
          <xdr:col>16</xdr:col>
          <xdr:colOff>447675</xdr:colOff>
          <xdr:row>75</xdr:row>
          <xdr:rowOff>266700</xdr:rowOff>
        </xdr:to>
        <xdr:sp macro="" textlink="">
          <xdr:nvSpPr>
            <xdr:cNvPr id="1297" name="Button 273" hidden="1">
              <a:extLst>
                <a:ext uri="{63B3BB69-23CF-44E3-9099-C40C66FF867C}">
                  <a14:compatExt spid="_x0000_s1297"/>
                </a:ext>
                <a:ext uri="{FF2B5EF4-FFF2-40B4-BE49-F238E27FC236}">
                  <a16:creationId xmlns:a16="http://schemas.microsoft.com/office/drawing/2014/main" id="{00000000-0008-0000-0000-00001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76</xdr:row>
          <xdr:rowOff>19050</xdr:rowOff>
        </xdr:from>
        <xdr:to>
          <xdr:col>16</xdr:col>
          <xdr:colOff>447675</xdr:colOff>
          <xdr:row>76</xdr:row>
          <xdr:rowOff>266700</xdr:rowOff>
        </xdr:to>
        <xdr:sp macro="" textlink="">
          <xdr:nvSpPr>
            <xdr:cNvPr id="1298" name="Button 274"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77</xdr:row>
          <xdr:rowOff>19050</xdr:rowOff>
        </xdr:from>
        <xdr:to>
          <xdr:col>16</xdr:col>
          <xdr:colOff>447675</xdr:colOff>
          <xdr:row>77</xdr:row>
          <xdr:rowOff>266700</xdr:rowOff>
        </xdr:to>
        <xdr:sp macro="" textlink="">
          <xdr:nvSpPr>
            <xdr:cNvPr id="1299" name="Button 275"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78</xdr:row>
          <xdr:rowOff>19050</xdr:rowOff>
        </xdr:from>
        <xdr:to>
          <xdr:col>16</xdr:col>
          <xdr:colOff>447675</xdr:colOff>
          <xdr:row>78</xdr:row>
          <xdr:rowOff>266700</xdr:rowOff>
        </xdr:to>
        <xdr:sp macro="" textlink="">
          <xdr:nvSpPr>
            <xdr:cNvPr id="1300" name="Button 276"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79</xdr:row>
          <xdr:rowOff>19050</xdr:rowOff>
        </xdr:from>
        <xdr:to>
          <xdr:col>16</xdr:col>
          <xdr:colOff>447675</xdr:colOff>
          <xdr:row>79</xdr:row>
          <xdr:rowOff>266700</xdr:rowOff>
        </xdr:to>
        <xdr:sp macro="" textlink="">
          <xdr:nvSpPr>
            <xdr:cNvPr id="1301" name="Button 277" hidden="1">
              <a:extLst>
                <a:ext uri="{63B3BB69-23CF-44E3-9099-C40C66FF867C}">
                  <a14:compatExt spid="_x0000_s1301"/>
                </a:ext>
                <a:ext uri="{FF2B5EF4-FFF2-40B4-BE49-F238E27FC236}">
                  <a16:creationId xmlns:a16="http://schemas.microsoft.com/office/drawing/2014/main" id="{00000000-0008-0000-0000-00001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80</xdr:row>
          <xdr:rowOff>19050</xdr:rowOff>
        </xdr:from>
        <xdr:to>
          <xdr:col>16</xdr:col>
          <xdr:colOff>447675</xdr:colOff>
          <xdr:row>80</xdr:row>
          <xdr:rowOff>266700</xdr:rowOff>
        </xdr:to>
        <xdr:sp macro="" textlink="">
          <xdr:nvSpPr>
            <xdr:cNvPr id="1302" name="Button 278" hidden="1">
              <a:extLst>
                <a:ext uri="{63B3BB69-23CF-44E3-9099-C40C66FF867C}">
                  <a14:compatExt spid="_x0000_s1302"/>
                </a:ext>
                <a:ext uri="{FF2B5EF4-FFF2-40B4-BE49-F238E27FC236}">
                  <a16:creationId xmlns:a16="http://schemas.microsoft.com/office/drawing/2014/main" id="{00000000-0008-0000-0000-00001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81</xdr:row>
          <xdr:rowOff>19050</xdr:rowOff>
        </xdr:from>
        <xdr:to>
          <xdr:col>16</xdr:col>
          <xdr:colOff>447675</xdr:colOff>
          <xdr:row>81</xdr:row>
          <xdr:rowOff>266700</xdr:rowOff>
        </xdr:to>
        <xdr:sp macro="" textlink="">
          <xdr:nvSpPr>
            <xdr:cNvPr id="1303" name="Button 279" hidden="1">
              <a:extLst>
                <a:ext uri="{63B3BB69-23CF-44E3-9099-C40C66FF867C}">
                  <a14:compatExt spid="_x0000_s1303"/>
                </a:ext>
                <a:ext uri="{FF2B5EF4-FFF2-40B4-BE49-F238E27FC236}">
                  <a16:creationId xmlns:a16="http://schemas.microsoft.com/office/drawing/2014/main" id="{00000000-0008-0000-0000-00001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82</xdr:row>
          <xdr:rowOff>19050</xdr:rowOff>
        </xdr:from>
        <xdr:to>
          <xdr:col>16</xdr:col>
          <xdr:colOff>447675</xdr:colOff>
          <xdr:row>82</xdr:row>
          <xdr:rowOff>266700</xdr:rowOff>
        </xdr:to>
        <xdr:sp macro="" textlink="">
          <xdr:nvSpPr>
            <xdr:cNvPr id="1304" name="Button 280"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83</xdr:row>
          <xdr:rowOff>19050</xdr:rowOff>
        </xdr:from>
        <xdr:to>
          <xdr:col>16</xdr:col>
          <xdr:colOff>447675</xdr:colOff>
          <xdr:row>83</xdr:row>
          <xdr:rowOff>266700</xdr:rowOff>
        </xdr:to>
        <xdr:sp macro="" textlink="">
          <xdr:nvSpPr>
            <xdr:cNvPr id="1305" name="Button 281" hidden="1">
              <a:extLst>
                <a:ext uri="{63B3BB69-23CF-44E3-9099-C40C66FF867C}">
                  <a14:compatExt spid="_x0000_s1305"/>
                </a:ext>
                <a:ext uri="{FF2B5EF4-FFF2-40B4-BE49-F238E27FC236}">
                  <a16:creationId xmlns:a16="http://schemas.microsoft.com/office/drawing/2014/main" id="{00000000-0008-0000-0000-00001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84</xdr:row>
          <xdr:rowOff>19050</xdr:rowOff>
        </xdr:from>
        <xdr:to>
          <xdr:col>16</xdr:col>
          <xdr:colOff>447675</xdr:colOff>
          <xdr:row>84</xdr:row>
          <xdr:rowOff>266700</xdr:rowOff>
        </xdr:to>
        <xdr:sp macro="" textlink="">
          <xdr:nvSpPr>
            <xdr:cNvPr id="1306" name="Button 282" hidden="1">
              <a:extLst>
                <a:ext uri="{63B3BB69-23CF-44E3-9099-C40C66FF867C}">
                  <a14:compatExt spid="_x0000_s1306"/>
                </a:ext>
                <a:ext uri="{FF2B5EF4-FFF2-40B4-BE49-F238E27FC236}">
                  <a16:creationId xmlns:a16="http://schemas.microsoft.com/office/drawing/2014/main" id="{00000000-0008-0000-0000-00001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85</xdr:row>
          <xdr:rowOff>19050</xdr:rowOff>
        </xdr:from>
        <xdr:to>
          <xdr:col>16</xdr:col>
          <xdr:colOff>447675</xdr:colOff>
          <xdr:row>85</xdr:row>
          <xdr:rowOff>266700</xdr:rowOff>
        </xdr:to>
        <xdr:sp macro="" textlink="">
          <xdr:nvSpPr>
            <xdr:cNvPr id="1307" name="Button 283" hidden="1">
              <a:extLst>
                <a:ext uri="{63B3BB69-23CF-44E3-9099-C40C66FF867C}">
                  <a14:compatExt spid="_x0000_s1307"/>
                </a:ext>
                <a:ext uri="{FF2B5EF4-FFF2-40B4-BE49-F238E27FC236}">
                  <a16:creationId xmlns:a16="http://schemas.microsoft.com/office/drawing/2014/main" id="{00000000-0008-0000-0000-00001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86</xdr:row>
          <xdr:rowOff>19050</xdr:rowOff>
        </xdr:from>
        <xdr:to>
          <xdr:col>16</xdr:col>
          <xdr:colOff>447675</xdr:colOff>
          <xdr:row>86</xdr:row>
          <xdr:rowOff>266700</xdr:rowOff>
        </xdr:to>
        <xdr:sp macro="" textlink="">
          <xdr:nvSpPr>
            <xdr:cNvPr id="1308" name="Button 284" hidden="1">
              <a:extLst>
                <a:ext uri="{63B3BB69-23CF-44E3-9099-C40C66FF867C}">
                  <a14:compatExt spid="_x0000_s1308"/>
                </a:ext>
                <a:ext uri="{FF2B5EF4-FFF2-40B4-BE49-F238E27FC236}">
                  <a16:creationId xmlns:a16="http://schemas.microsoft.com/office/drawing/2014/main" id="{00000000-0008-0000-0000-00001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87</xdr:row>
          <xdr:rowOff>19050</xdr:rowOff>
        </xdr:from>
        <xdr:to>
          <xdr:col>16</xdr:col>
          <xdr:colOff>447675</xdr:colOff>
          <xdr:row>87</xdr:row>
          <xdr:rowOff>266700</xdr:rowOff>
        </xdr:to>
        <xdr:sp macro="" textlink="">
          <xdr:nvSpPr>
            <xdr:cNvPr id="1309" name="Button 285" hidden="1">
              <a:extLst>
                <a:ext uri="{63B3BB69-23CF-44E3-9099-C40C66FF867C}">
                  <a14:compatExt spid="_x0000_s1309"/>
                </a:ext>
                <a:ext uri="{FF2B5EF4-FFF2-40B4-BE49-F238E27FC236}">
                  <a16:creationId xmlns:a16="http://schemas.microsoft.com/office/drawing/2014/main" id="{00000000-0008-0000-0000-00001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88</xdr:row>
          <xdr:rowOff>19050</xdr:rowOff>
        </xdr:from>
        <xdr:to>
          <xdr:col>16</xdr:col>
          <xdr:colOff>447675</xdr:colOff>
          <xdr:row>88</xdr:row>
          <xdr:rowOff>266700</xdr:rowOff>
        </xdr:to>
        <xdr:sp macro="" textlink="">
          <xdr:nvSpPr>
            <xdr:cNvPr id="1310" name="Button 286" hidden="1">
              <a:extLst>
                <a:ext uri="{63B3BB69-23CF-44E3-9099-C40C66FF867C}">
                  <a14:compatExt spid="_x0000_s1310"/>
                </a:ext>
                <a:ext uri="{FF2B5EF4-FFF2-40B4-BE49-F238E27FC236}">
                  <a16:creationId xmlns:a16="http://schemas.microsoft.com/office/drawing/2014/main" id="{00000000-0008-0000-0000-00001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89</xdr:row>
          <xdr:rowOff>19050</xdr:rowOff>
        </xdr:from>
        <xdr:to>
          <xdr:col>16</xdr:col>
          <xdr:colOff>447675</xdr:colOff>
          <xdr:row>89</xdr:row>
          <xdr:rowOff>266700</xdr:rowOff>
        </xdr:to>
        <xdr:sp macro="" textlink="">
          <xdr:nvSpPr>
            <xdr:cNvPr id="1311" name="Button 287" hidden="1">
              <a:extLst>
                <a:ext uri="{63B3BB69-23CF-44E3-9099-C40C66FF867C}">
                  <a14:compatExt spid="_x0000_s1311"/>
                </a:ext>
                <a:ext uri="{FF2B5EF4-FFF2-40B4-BE49-F238E27FC236}">
                  <a16:creationId xmlns:a16="http://schemas.microsoft.com/office/drawing/2014/main" id="{00000000-0008-0000-0000-00001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90</xdr:row>
          <xdr:rowOff>19050</xdr:rowOff>
        </xdr:from>
        <xdr:to>
          <xdr:col>16</xdr:col>
          <xdr:colOff>447675</xdr:colOff>
          <xdr:row>90</xdr:row>
          <xdr:rowOff>266700</xdr:rowOff>
        </xdr:to>
        <xdr:sp macro="" textlink="">
          <xdr:nvSpPr>
            <xdr:cNvPr id="1312" name="Button 288" hidden="1">
              <a:extLst>
                <a:ext uri="{63B3BB69-23CF-44E3-9099-C40C66FF867C}">
                  <a14:compatExt spid="_x0000_s1312"/>
                </a:ext>
                <a:ext uri="{FF2B5EF4-FFF2-40B4-BE49-F238E27FC236}">
                  <a16:creationId xmlns:a16="http://schemas.microsoft.com/office/drawing/2014/main" id="{00000000-0008-0000-0000-00002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91</xdr:row>
          <xdr:rowOff>19050</xdr:rowOff>
        </xdr:from>
        <xdr:to>
          <xdr:col>16</xdr:col>
          <xdr:colOff>447675</xdr:colOff>
          <xdr:row>91</xdr:row>
          <xdr:rowOff>266700</xdr:rowOff>
        </xdr:to>
        <xdr:sp macro="" textlink="">
          <xdr:nvSpPr>
            <xdr:cNvPr id="1313" name="Button 289" hidden="1">
              <a:extLst>
                <a:ext uri="{63B3BB69-23CF-44E3-9099-C40C66FF867C}">
                  <a14:compatExt spid="_x0000_s1313"/>
                </a:ext>
                <a:ext uri="{FF2B5EF4-FFF2-40B4-BE49-F238E27FC236}">
                  <a16:creationId xmlns:a16="http://schemas.microsoft.com/office/drawing/2014/main" id="{00000000-0008-0000-0000-00002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92</xdr:row>
          <xdr:rowOff>19050</xdr:rowOff>
        </xdr:from>
        <xdr:to>
          <xdr:col>16</xdr:col>
          <xdr:colOff>447675</xdr:colOff>
          <xdr:row>92</xdr:row>
          <xdr:rowOff>266700</xdr:rowOff>
        </xdr:to>
        <xdr:sp macro="" textlink="">
          <xdr:nvSpPr>
            <xdr:cNvPr id="1314" name="Button 290"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93</xdr:row>
          <xdr:rowOff>19050</xdr:rowOff>
        </xdr:from>
        <xdr:to>
          <xdr:col>16</xdr:col>
          <xdr:colOff>447675</xdr:colOff>
          <xdr:row>93</xdr:row>
          <xdr:rowOff>266700</xdr:rowOff>
        </xdr:to>
        <xdr:sp macro="" textlink="">
          <xdr:nvSpPr>
            <xdr:cNvPr id="1315" name="Button 291"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94</xdr:row>
          <xdr:rowOff>19050</xdr:rowOff>
        </xdr:from>
        <xdr:to>
          <xdr:col>16</xdr:col>
          <xdr:colOff>447675</xdr:colOff>
          <xdr:row>94</xdr:row>
          <xdr:rowOff>266700</xdr:rowOff>
        </xdr:to>
        <xdr:sp macro="" textlink="">
          <xdr:nvSpPr>
            <xdr:cNvPr id="1316" name="Button 292"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95</xdr:row>
          <xdr:rowOff>19050</xdr:rowOff>
        </xdr:from>
        <xdr:to>
          <xdr:col>16</xdr:col>
          <xdr:colOff>447675</xdr:colOff>
          <xdr:row>95</xdr:row>
          <xdr:rowOff>266700</xdr:rowOff>
        </xdr:to>
        <xdr:sp macro="" textlink="">
          <xdr:nvSpPr>
            <xdr:cNvPr id="1317" name="Button 293"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96</xdr:row>
          <xdr:rowOff>19050</xdr:rowOff>
        </xdr:from>
        <xdr:to>
          <xdr:col>16</xdr:col>
          <xdr:colOff>447675</xdr:colOff>
          <xdr:row>96</xdr:row>
          <xdr:rowOff>266700</xdr:rowOff>
        </xdr:to>
        <xdr:sp macro="" textlink="">
          <xdr:nvSpPr>
            <xdr:cNvPr id="1318" name="Button 294" hidden="1">
              <a:extLst>
                <a:ext uri="{63B3BB69-23CF-44E3-9099-C40C66FF867C}">
                  <a14:compatExt spid="_x0000_s1318"/>
                </a:ext>
                <a:ext uri="{FF2B5EF4-FFF2-40B4-BE49-F238E27FC236}">
                  <a16:creationId xmlns:a16="http://schemas.microsoft.com/office/drawing/2014/main" id="{00000000-0008-0000-0000-00002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97</xdr:row>
          <xdr:rowOff>19050</xdr:rowOff>
        </xdr:from>
        <xdr:to>
          <xdr:col>16</xdr:col>
          <xdr:colOff>447675</xdr:colOff>
          <xdr:row>97</xdr:row>
          <xdr:rowOff>266700</xdr:rowOff>
        </xdr:to>
        <xdr:sp macro="" textlink="">
          <xdr:nvSpPr>
            <xdr:cNvPr id="1319" name="Button 295" hidden="1">
              <a:extLst>
                <a:ext uri="{63B3BB69-23CF-44E3-9099-C40C66FF867C}">
                  <a14:compatExt spid="_x0000_s1319"/>
                </a:ext>
                <a:ext uri="{FF2B5EF4-FFF2-40B4-BE49-F238E27FC236}">
                  <a16:creationId xmlns:a16="http://schemas.microsoft.com/office/drawing/2014/main" id="{00000000-0008-0000-0000-00002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98</xdr:row>
          <xdr:rowOff>19050</xdr:rowOff>
        </xdr:from>
        <xdr:to>
          <xdr:col>16</xdr:col>
          <xdr:colOff>447675</xdr:colOff>
          <xdr:row>98</xdr:row>
          <xdr:rowOff>266700</xdr:rowOff>
        </xdr:to>
        <xdr:sp macro="" textlink="">
          <xdr:nvSpPr>
            <xdr:cNvPr id="1320" name="Button 296" hidden="1">
              <a:extLst>
                <a:ext uri="{63B3BB69-23CF-44E3-9099-C40C66FF867C}">
                  <a14:compatExt spid="_x0000_s1320"/>
                </a:ext>
                <a:ext uri="{FF2B5EF4-FFF2-40B4-BE49-F238E27FC236}">
                  <a16:creationId xmlns:a16="http://schemas.microsoft.com/office/drawing/2014/main" id="{00000000-0008-0000-0000-00002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99</xdr:row>
          <xdr:rowOff>19050</xdr:rowOff>
        </xdr:from>
        <xdr:to>
          <xdr:col>16</xdr:col>
          <xdr:colOff>447675</xdr:colOff>
          <xdr:row>99</xdr:row>
          <xdr:rowOff>266700</xdr:rowOff>
        </xdr:to>
        <xdr:sp macro="" textlink="">
          <xdr:nvSpPr>
            <xdr:cNvPr id="1321" name="Button 297" hidden="1">
              <a:extLst>
                <a:ext uri="{63B3BB69-23CF-44E3-9099-C40C66FF867C}">
                  <a14:compatExt spid="_x0000_s1321"/>
                </a:ext>
                <a:ext uri="{FF2B5EF4-FFF2-40B4-BE49-F238E27FC236}">
                  <a16:creationId xmlns:a16="http://schemas.microsoft.com/office/drawing/2014/main" id="{00000000-0008-0000-0000-00002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99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100</xdr:row>
          <xdr:rowOff>19050</xdr:rowOff>
        </xdr:from>
        <xdr:to>
          <xdr:col>16</xdr:col>
          <xdr:colOff>447675</xdr:colOff>
          <xdr:row>100</xdr:row>
          <xdr:rowOff>266700</xdr:rowOff>
        </xdr:to>
        <xdr:sp macro="" textlink="">
          <xdr:nvSpPr>
            <xdr:cNvPr id="1322" name="Button 298" hidden="1">
              <a:extLst>
                <a:ext uri="{63B3BB69-23CF-44E3-9099-C40C66FF867C}">
                  <a14:compatExt spid="_x0000_s1322"/>
                </a:ext>
                <a:ext uri="{FF2B5EF4-FFF2-40B4-BE49-F238E27FC236}">
                  <a16:creationId xmlns:a16="http://schemas.microsoft.com/office/drawing/2014/main" id="{00000000-0008-0000-0000-00002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101</xdr:row>
          <xdr:rowOff>19050</xdr:rowOff>
        </xdr:from>
        <xdr:to>
          <xdr:col>16</xdr:col>
          <xdr:colOff>447675</xdr:colOff>
          <xdr:row>101</xdr:row>
          <xdr:rowOff>266700</xdr:rowOff>
        </xdr:to>
        <xdr:sp macro="" textlink="">
          <xdr:nvSpPr>
            <xdr:cNvPr id="1323" name="Button 299" hidden="1">
              <a:extLst>
                <a:ext uri="{63B3BB69-23CF-44E3-9099-C40C66FF867C}">
                  <a14:compatExt spid="_x0000_s1323"/>
                </a:ext>
                <a:ext uri="{FF2B5EF4-FFF2-40B4-BE49-F238E27FC236}">
                  <a16:creationId xmlns:a16="http://schemas.microsoft.com/office/drawing/2014/main" id="{00000000-0008-0000-0000-00002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102</xdr:row>
          <xdr:rowOff>19050</xdr:rowOff>
        </xdr:from>
        <xdr:to>
          <xdr:col>16</xdr:col>
          <xdr:colOff>447675</xdr:colOff>
          <xdr:row>102</xdr:row>
          <xdr:rowOff>266700</xdr:rowOff>
        </xdr:to>
        <xdr:sp macro="" textlink="">
          <xdr:nvSpPr>
            <xdr:cNvPr id="1324" name="Button 300" hidden="1">
              <a:extLst>
                <a:ext uri="{63B3BB69-23CF-44E3-9099-C40C66FF867C}">
                  <a14:compatExt spid="_x0000_s1324"/>
                </a:ext>
                <a:ext uri="{FF2B5EF4-FFF2-40B4-BE49-F238E27FC236}">
                  <a16:creationId xmlns:a16="http://schemas.microsoft.com/office/drawing/2014/main" id="{00000000-0008-0000-0000-00002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103</xdr:row>
          <xdr:rowOff>19050</xdr:rowOff>
        </xdr:from>
        <xdr:to>
          <xdr:col>16</xdr:col>
          <xdr:colOff>447675</xdr:colOff>
          <xdr:row>103</xdr:row>
          <xdr:rowOff>266700</xdr:rowOff>
        </xdr:to>
        <xdr:sp macro="" textlink="">
          <xdr:nvSpPr>
            <xdr:cNvPr id="1325" name="Button 301" hidden="1">
              <a:extLst>
                <a:ext uri="{63B3BB69-23CF-44E3-9099-C40C66FF867C}">
                  <a14:compatExt spid="_x0000_s1325"/>
                </a:ext>
                <a:ext uri="{FF2B5EF4-FFF2-40B4-BE49-F238E27FC236}">
                  <a16:creationId xmlns:a16="http://schemas.microsoft.com/office/drawing/2014/main" id="{00000000-0008-0000-0000-00002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104</xdr:row>
          <xdr:rowOff>19050</xdr:rowOff>
        </xdr:from>
        <xdr:to>
          <xdr:col>16</xdr:col>
          <xdr:colOff>447675</xdr:colOff>
          <xdr:row>104</xdr:row>
          <xdr:rowOff>266700</xdr:rowOff>
        </xdr:to>
        <xdr:sp macro="" textlink="">
          <xdr:nvSpPr>
            <xdr:cNvPr id="1326" name="Button 302" hidden="1">
              <a:extLst>
                <a:ext uri="{63B3BB69-23CF-44E3-9099-C40C66FF867C}">
                  <a14:compatExt spid="_x0000_s1326"/>
                </a:ext>
                <a:ext uri="{FF2B5EF4-FFF2-40B4-BE49-F238E27FC236}">
                  <a16:creationId xmlns:a16="http://schemas.microsoft.com/office/drawing/2014/main" id="{00000000-0008-0000-0000-00002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105</xdr:row>
          <xdr:rowOff>19050</xdr:rowOff>
        </xdr:from>
        <xdr:to>
          <xdr:col>16</xdr:col>
          <xdr:colOff>447675</xdr:colOff>
          <xdr:row>105</xdr:row>
          <xdr:rowOff>266700</xdr:rowOff>
        </xdr:to>
        <xdr:sp macro="" textlink="">
          <xdr:nvSpPr>
            <xdr:cNvPr id="1327" name="Button 303" hidden="1">
              <a:extLst>
                <a:ext uri="{63B3BB69-23CF-44E3-9099-C40C66FF867C}">
                  <a14:compatExt spid="_x0000_s1327"/>
                </a:ext>
                <a:ext uri="{FF2B5EF4-FFF2-40B4-BE49-F238E27FC236}">
                  <a16:creationId xmlns:a16="http://schemas.microsoft.com/office/drawing/2014/main" id="{00000000-0008-0000-0000-00002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106</xdr:row>
          <xdr:rowOff>19050</xdr:rowOff>
        </xdr:from>
        <xdr:to>
          <xdr:col>16</xdr:col>
          <xdr:colOff>447675</xdr:colOff>
          <xdr:row>106</xdr:row>
          <xdr:rowOff>266700</xdr:rowOff>
        </xdr:to>
        <xdr:sp macro="" textlink="">
          <xdr:nvSpPr>
            <xdr:cNvPr id="1328" name="Button 304" hidden="1">
              <a:extLst>
                <a:ext uri="{63B3BB69-23CF-44E3-9099-C40C66FF867C}">
                  <a14:compatExt spid="_x0000_s1328"/>
                </a:ext>
                <a:ext uri="{FF2B5EF4-FFF2-40B4-BE49-F238E27FC236}">
                  <a16:creationId xmlns:a16="http://schemas.microsoft.com/office/drawing/2014/main" id="{00000000-0008-0000-0000-00003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107</xdr:row>
          <xdr:rowOff>19050</xdr:rowOff>
        </xdr:from>
        <xdr:to>
          <xdr:col>16</xdr:col>
          <xdr:colOff>447675</xdr:colOff>
          <xdr:row>107</xdr:row>
          <xdr:rowOff>266700</xdr:rowOff>
        </xdr:to>
        <xdr:sp macro="" textlink="">
          <xdr:nvSpPr>
            <xdr:cNvPr id="1329" name="Button 305" hidden="1">
              <a:extLst>
                <a:ext uri="{63B3BB69-23CF-44E3-9099-C40C66FF867C}">
                  <a14:compatExt spid="_x0000_s1329"/>
                </a:ext>
                <a:ext uri="{FF2B5EF4-FFF2-40B4-BE49-F238E27FC236}">
                  <a16:creationId xmlns:a16="http://schemas.microsoft.com/office/drawing/2014/main" id="{00000000-0008-0000-0000-00003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108</xdr:row>
          <xdr:rowOff>19050</xdr:rowOff>
        </xdr:from>
        <xdr:to>
          <xdr:col>16</xdr:col>
          <xdr:colOff>447675</xdr:colOff>
          <xdr:row>108</xdr:row>
          <xdr:rowOff>266700</xdr:rowOff>
        </xdr:to>
        <xdr:sp macro="" textlink="">
          <xdr:nvSpPr>
            <xdr:cNvPr id="1330" name="Button 306" hidden="1">
              <a:extLst>
                <a:ext uri="{63B3BB69-23CF-44E3-9099-C40C66FF867C}">
                  <a14:compatExt spid="_x0000_s1330"/>
                </a:ext>
                <a:ext uri="{FF2B5EF4-FFF2-40B4-BE49-F238E27FC236}">
                  <a16:creationId xmlns:a16="http://schemas.microsoft.com/office/drawing/2014/main" id="{00000000-0008-0000-0000-00003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109</xdr:row>
          <xdr:rowOff>19050</xdr:rowOff>
        </xdr:from>
        <xdr:to>
          <xdr:col>16</xdr:col>
          <xdr:colOff>447675</xdr:colOff>
          <xdr:row>109</xdr:row>
          <xdr:rowOff>266700</xdr:rowOff>
        </xdr:to>
        <xdr:sp macro="" textlink="">
          <xdr:nvSpPr>
            <xdr:cNvPr id="1331" name="Button 307" hidden="1">
              <a:extLst>
                <a:ext uri="{63B3BB69-23CF-44E3-9099-C40C66FF867C}">
                  <a14:compatExt spid="_x0000_s1331"/>
                </a:ext>
                <a:ext uri="{FF2B5EF4-FFF2-40B4-BE49-F238E27FC236}">
                  <a16:creationId xmlns:a16="http://schemas.microsoft.com/office/drawing/2014/main" id="{00000000-0008-0000-0000-00003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110</xdr:row>
          <xdr:rowOff>19050</xdr:rowOff>
        </xdr:from>
        <xdr:to>
          <xdr:col>16</xdr:col>
          <xdr:colOff>447675</xdr:colOff>
          <xdr:row>110</xdr:row>
          <xdr:rowOff>266700</xdr:rowOff>
        </xdr:to>
        <xdr:sp macro="" textlink="">
          <xdr:nvSpPr>
            <xdr:cNvPr id="1332" name="Button 308" hidden="1">
              <a:extLst>
                <a:ext uri="{63B3BB69-23CF-44E3-9099-C40C66FF867C}">
                  <a14:compatExt spid="_x0000_s1332"/>
                </a:ext>
                <a:ext uri="{FF2B5EF4-FFF2-40B4-BE49-F238E27FC236}">
                  <a16:creationId xmlns:a16="http://schemas.microsoft.com/office/drawing/2014/main" id="{00000000-0008-0000-0000-00003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111</xdr:row>
          <xdr:rowOff>19050</xdr:rowOff>
        </xdr:from>
        <xdr:to>
          <xdr:col>16</xdr:col>
          <xdr:colOff>447675</xdr:colOff>
          <xdr:row>111</xdr:row>
          <xdr:rowOff>266700</xdr:rowOff>
        </xdr:to>
        <xdr:sp macro="" textlink="">
          <xdr:nvSpPr>
            <xdr:cNvPr id="1333" name="Button 309" hidden="1">
              <a:extLst>
                <a:ext uri="{63B3BB69-23CF-44E3-9099-C40C66FF867C}">
                  <a14:compatExt spid="_x0000_s1333"/>
                </a:ext>
                <a:ext uri="{FF2B5EF4-FFF2-40B4-BE49-F238E27FC236}">
                  <a16:creationId xmlns:a16="http://schemas.microsoft.com/office/drawing/2014/main" id="{00000000-0008-0000-0000-00003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112</xdr:row>
          <xdr:rowOff>19050</xdr:rowOff>
        </xdr:from>
        <xdr:to>
          <xdr:col>16</xdr:col>
          <xdr:colOff>447675</xdr:colOff>
          <xdr:row>112</xdr:row>
          <xdr:rowOff>266700</xdr:rowOff>
        </xdr:to>
        <xdr:sp macro="" textlink="">
          <xdr:nvSpPr>
            <xdr:cNvPr id="1334" name="Button 310" hidden="1">
              <a:extLst>
                <a:ext uri="{63B3BB69-23CF-44E3-9099-C40C66FF867C}">
                  <a14:compatExt spid="_x0000_s1334"/>
                </a:ext>
                <a:ext uri="{FF2B5EF4-FFF2-40B4-BE49-F238E27FC236}">
                  <a16:creationId xmlns:a16="http://schemas.microsoft.com/office/drawing/2014/main" id="{00000000-0008-0000-0000-00003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113</xdr:row>
          <xdr:rowOff>19050</xdr:rowOff>
        </xdr:from>
        <xdr:to>
          <xdr:col>16</xdr:col>
          <xdr:colOff>447675</xdr:colOff>
          <xdr:row>113</xdr:row>
          <xdr:rowOff>266700</xdr:rowOff>
        </xdr:to>
        <xdr:sp macro="" textlink="">
          <xdr:nvSpPr>
            <xdr:cNvPr id="1335" name="Button 311" hidden="1">
              <a:extLst>
                <a:ext uri="{63B3BB69-23CF-44E3-9099-C40C66FF867C}">
                  <a14:compatExt spid="_x0000_s1335"/>
                </a:ext>
                <a:ext uri="{FF2B5EF4-FFF2-40B4-BE49-F238E27FC236}">
                  <a16:creationId xmlns:a16="http://schemas.microsoft.com/office/drawing/2014/main" id="{00000000-0008-0000-0000-00003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114</xdr:row>
          <xdr:rowOff>19050</xdr:rowOff>
        </xdr:from>
        <xdr:to>
          <xdr:col>16</xdr:col>
          <xdr:colOff>447675</xdr:colOff>
          <xdr:row>114</xdr:row>
          <xdr:rowOff>266700</xdr:rowOff>
        </xdr:to>
        <xdr:sp macro="" textlink="">
          <xdr:nvSpPr>
            <xdr:cNvPr id="1336" name="Button 312" hidden="1">
              <a:extLst>
                <a:ext uri="{63B3BB69-23CF-44E3-9099-C40C66FF867C}">
                  <a14:compatExt spid="_x0000_s1336"/>
                </a:ext>
                <a:ext uri="{FF2B5EF4-FFF2-40B4-BE49-F238E27FC236}">
                  <a16:creationId xmlns:a16="http://schemas.microsoft.com/office/drawing/2014/main" id="{00000000-0008-0000-0000-00003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115</xdr:row>
          <xdr:rowOff>19050</xdr:rowOff>
        </xdr:from>
        <xdr:to>
          <xdr:col>16</xdr:col>
          <xdr:colOff>447675</xdr:colOff>
          <xdr:row>115</xdr:row>
          <xdr:rowOff>266700</xdr:rowOff>
        </xdr:to>
        <xdr:sp macro="" textlink="">
          <xdr:nvSpPr>
            <xdr:cNvPr id="1337" name="Button 313" hidden="1">
              <a:extLst>
                <a:ext uri="{63B3BB69-23CF-44E3-9099-C40C66FF867C}">
                  <a14:compatExt spid="_x0000_s1337"/>
                </a:ext>
                <a:ext uri="{FF2B5EF4-FFF2-40B4-BE49-F238E27FC236}">
                  <a16:creationId xmlns:a16="http://schemas.microsoft.com/office/drawing/2014/main" id="{00000000-0008-0000-0000-00003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116</xdr:row>
          <xdr:rowOff>19050</xdr:rowOff>
        </xdr:from>
        <xdr:to>
          <xdr:col>16</xdr:col>
          <xdr:colOff>447675</xdr:colOff>
          <xdr:row>116</xdr:row>
          <xdr:rowOff>266700</xdr:rowOff>
        </xdr:to>
        <xdr:sp macro="" textlink="">
          <xdr:nvSpPr>
            <xdr:cNvPr id="1338" name="Button 314" hidden="1">
              <a:extLst>
                <a:ext uri="{63B3BB69-23CF-44E3-9099-C40C66FF867C}">
                  <a14:compatExt spid="_x0000_s1338"/>
                </a:ext>
                <a:ext uri="{FF2B5EF4-FFF2-40B4-BE49-F238E27FC236}">
                  <a16:creationId xmlns:a16="http://schemas.microsoft.com/office/drawing/2014/main" id="{00000000-0008-0000-0000-00003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117</xdr:row>
          <xdr:rowOff>19050</xdr:rowOff>
        </xdr:from>
        <xdr:to>
          <xdr:col>16</xdr:col>
          <xdr:colOff>447675</xdr:colOff>
          <xdr:row>117</xdr:row>
          <xdr:rowOff>266700</xdr:rowOff>
        </xdr:to>
        <xdr:sp macro="" textlink="">
          <xdr:nvSpPr>
            <xdr:cNvPr id="1339" name="Button 315" hidden="1">
              <a:extLst>
                <a:ext uri="{63B3BB69-23CF-44E3-9099-C40C66FF867C}">
                  <a14:compatExt spid="_x0000_s1339"/>
                </a:ext>
                <a:ext uri="{FF2B5EF4-FFF2-40B4-BE49-F238E27FC236}">
                  <a16:creationId xmlns:a16="http://schemas.microsoft.com/office/drawing/2014/main" id="{00000000-0008-0000-0000-00003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118</xdr:row>
          <xdr:rowOff>19050</xdr:rowOff>
        </xdr:from>
        <xdr:to>
          <xdr:col>16</xdr:col>
          <xdr:colOff>447675</xdr:colOff>
          <xdr:row>118</xdr:row>
          <xdr:rowOff>266700</xdr:rowOff>
        </xdr:to>
        <xdr:sp macro="" textlink="">
          <xdr:nvSpPr>
            <xdr:cNvPr id="1340" name="Button 316" hidden="1">
              <a:extLst>
                <a:ext uri="{63B3BB69-23CF-44E3-9099-C40C66FF867C}">
                  <a14:compatExt spid="_x0000_s1340"/>
                </a:ext>
                <a:ext uri="{FF2B5EF4-FFF2-40B4-BE49-F238E27FC236}">
                  <a16:creationId xmlns:a16="http://schemas.microsoft.com/office/drawing/2014/main" id="{00000000-0008-0000-0000-00003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119</xdr:row>
          <xdr:rowOff>19050</xdr:rowOff>
        </xdr:from>
        <xdr:to>
          <xdr:col>16</xdr:col>
          <xdr:colOff>447675</xdr:colOff>
          <xdr:row>119</xdr:row>
          <xdr:rowOff>266700</xdr:rowOff>
        </xdr:to>
        <xdr:sp macro="" textlink="">
          <xdr:nvSpPr>
            <xdr:cNvPr id="1341" name="Button 317" hidden="1">
              <a:extLst>
                <a:ext uri="{63B3BB69-23CF-44E3-9099-C40C66FF867C}">
                  <a14:compatExt spid="_x0000_s1341"/>
                </a:ext>
                <a:ext uri="{FF2B5EF4-FFF2-40B4-BE49-F238E27FC236}">
                  <a16:creationId xmlns:a16="http://schemas.microsoft.com/office/drawing/2014/main" id="{00000000-0008-0000-0000-00003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120</xdr:row>
          <xdr:rowOff>19050</xdr:rowOff>
        </xdr:from>
        <xdr:to>
          <xdr:col>16</xdr:col>
          <xdr:colOff>447675</xdr:colOff>
          <xdr:row>120</xdr:row>
          <xdr:rowOff>266700</xdr:rowOff>
        </xdr:to>
        <xdr:sp macro="" textlink="">
          <xdr:nvSpPr>
            <xdr:cNvPr id="1342" name="Button 318" hidden="1">
              <a:extLst>
                <a:ext uri="{63B3BB69-23CF-44E3-9099-C40C66FF867C}">
                  <a14:compatExt spid="_x0000_s1342"/>
                </a:ext>
                <a:ext uri="{FF2B5EF4-FFF2-40B4-BE49-F238E27FC236}">
                  <a16:creationId xmlns:a16="http://schemas.microsoft.com/office/drawing/2014/main" id="{00000000-0008-0000-0000-00003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121</xdr:row>
          <xdr:rowOff>19050</xdr:rowOff>
        </xdr:from>
        <xdr:to>
          <xdr:col>16</xdr:col>
          <xdr:colOff>447675</xdr:colOff>
          <xdr:row>121</xdr:row>
          <xdr:rowOff>266700</xdr:rowOff>
        </xdr:to>
        <xdr:sp macro="" textlink="">
          <xdr:nvSpPr>
            <xdr:cNvPr id="1343" name="Button 319" hidden="1">
              <a:extLst>
                <a:ext uri="{63B3BB69-23CF-44E3-9099-C40C66FF867C}">
                  <a14:compatExt spid="_x0000_s1343"/>
                </a:ext>
                <a:ext uri="{FF2B5EF4-FFF2-40B4-BE49-F238E27FC236}">
                  <a16:creationId xmlns:a16="http://schemas.microsoft.com/office/drawing/2014/main" id="{00000000-0008-0000-0000-00003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122</xdr:row>
          <xdr:rowOff>19050</xdr:rowOff>
        </xdr:from>
        <xdr:to>
          <xdr:col>16</xdr:col>
          <xdr:colOff>447675</xdr:colOff>
          <xdr:row>122</xdr:row>
          <xdr:rowOff>266700</xdr:rowOff>
        </xdr:to>
        <xdr:sp macro="" textlink="">
          <xdr:nvSpPr>
            <xdr:cNvPr id="1344" name="Button 320" hidden="1">
              <a:extLst>
                <a:ext uri="{63B3BB69-23CF-44E3-9099-C40C66FF867C}">
                  <a14:compatExt spid="_x0000_s1344"/>
                </a:ext>
                <a:ext uri="{FF2B5EF4-FFF2-40B4-BE49-F238E27FC236}">
                  <a16:creationId xmlns:a16="http://schemas.microsoft.com/office/drawing/2014/main" id="{00000000-0008-0000-0000-00004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123</xdr:row>
          <xdr:rowOff>19050</xdr:rowOff>
        </xdr:from>
        <xdr:to>
          <xdr:col>16</xdr:col>
          <xdr:colOff>447675</xdr:colOff>
          <xdr:row>123</xdr:row>
          <xdr:rowOff>266700</xdr:rowOff>
        </xdr:to>
        <xdr:sp macro="" textlink="">
          <xdr:nvSpPr>
            <xdr:cNvPr id="1345" name="Button 321" hidden="1">
              <a:extLst>
                <a:ext uri="{63B3BB69-23CF-44E3-9099-C40C66FF867C}">
                  <a14:compatExt spid="_x0000_s1345"/>
                </a:ext>
                <a:ext uri="{FF2B5EF4-FFF2-40B4-BE49-F238E27FC236}">
                  <a16:creationId xmlns:a16="http://schemas.microsoft.com/office/drawing/2014/main" id="{00000000-0008-0000-0000-00004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124</xdr:row>
          <xdr:rowOff>19050</xdr:rowOff>
        </xdr:from>
        <xdr:to>
          <xdr:col>16</xdr:col>
          <xdr:colOff>447675</xdr:colOff>
          <xdr:row>124</xdr:row>
          <xdr:rowOff>266700</xdr:rowOff>
        </xdr:to>
        <xdr:sp macro="" textlink="">
          <xdr:nvSpPr>
            <xdr:cNvPr id="1346" name="Button 322" hidden="1">
              <a:extLst>
                <a:ext uri="{63B3BB69-23CF-44E3-9099-C40C66FF867C}">
                  <a14:compatExt spid="_x0000_s1346"/>
                </a:ext>
                <a:ext uri="{FF2B5EF4-FFF2-40B4-BE49-F238E27FC236}">
                  <a16:creationId xmlns:a16="http://schemas.microsoft.com/office/drawing/2014/main" id="{00000000-0008-0000-0000-00004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125</xdr:row>
          <xdr:rowOff>19050</xdr:rowOff>
        </xdr:from>
        <xdr:to>
          <xdr:col>16</xdr:col>
          <xdr:colOff>447675</xdr:colOff>
          <xdr:row>125</xdr:row>
          <xdr:rowOff>266700</xdr:rowOff>
        </xdr:to>
        <xdr:sp macro="" textlink="">
          <xdr:nvSpPr>
            <xdr:cNvPr id="1347" name="Button 323" hidden="1">
              <a:extLst>
                <a:ext uri="{63B3BB69-23CF-44E3-9099-C40C66FF867C}">
                  <a14:compatExt spid="_x0000_s1347"/>
                </a:ext>
                <a:ext uri="{FF2B5EF4-FFF2-40B4-BE49-F238E27FC236}">
                  <a16:creationId xmlns:a16="http://schemas.microsoft.com/office/drawing/2014/main" id="{00000000-0008-0000-0000-00004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126</xdr:row>
          <xdr:rowOff>19050</xdr:rowOff>
        </xdr:from>
        <xdr:to>
          <xdr:col>16</xdr:col>
          <xdr:colOff>447675</xdr:colOff>
          <xdr:row>126</xdr:row>
          <xdr:rowOff>266700</xdr:rowOff>
        </xdr:to>
        <xdr:sp macro="" textlink="">
          <xdr:nvSpPr>
            <xdr:cNvPr id="1348" name="Button 324" hidden="1">
              <a:extLst>
                <a:ext uri="{63B3BB69-23CF-44E3-9099-C40C66FF867C}">
                  <a14:compatExt spid="_x0000_s1348"/>
                </a:ext>
                <a:ext uri="{FF2B5EF4-FFF2-40B4-BE49-F238E27FC236}">
                  <a16:creationId xmlns:a16="http://schemas.microsoft.com/office/drawing/2014/main" id="{00000000-0008-0000-0000-00004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127</xdr:row>
          <xdr:rowOff>19050</xdr:rowOff>
        </xdr:from>
        <xdr:to>
          <xdr:col>16</xdr:col>
          <xdr:colOff>447675</xdr:colOff>
          <xdr:row>127</xdr:row>
          <xdr:rowOff>266700</xdr:rowOff>
        </xdr:to>
        <xdr:sp macro="" textlink="">
          <xdr:nvSpPr>
            <xdr:cNvPr id="1349" name="Button 325" hidden="1">
              <a:extLst>
                <a:ext uri="{63B3BB69-23CF-44E3-9099-C40C66FF867C}">
                  <a14:compatExt spid="_x0000_s1349"/>
                </a:ext>
                <a:ext uri="{FF2B5EF4-FFF2-40B4-BE49-F238E27FC236}">
                  <a16:creationId xmlns:a16="http://schemas.microsoft.com/office/drawing/2014/main" id="{00000000-0008-0000-0000-00004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128</xdr:row>
          <xdr:rowOff>19050</xdr:rowOff>
        </xdr:from>
        <xdr:to>
          <xdr:col>16</xdr:col>
          <xdr:colOff>447675</xdr:colOff>
          <xdr:row>128</xdr:row>
          <xdr:rowOff>266700</xdr:rowOff>
        </xdr:to>
        <xdr:sp macro="" textlink="">
          <xdr:nvSpPr>
            <xdr:cNvPr id="1350" name="Button 326" hidden="1">
              <a:extLst>
                <a:ext uri="{63B3BB69-23CF-44E3-9099-C40C66FF867C}">
                  <a14:compatExt spid="_x0000_s1350"/>
                </a:ext>
                <a:ext uri="{FF2B5EF4-FFF2-40B4-BE49-F238E27FC236}">
                  <a16:creationId xmlns:a16="http://schemas.microsoft.com/office/drawing/2014/main" id="{00000000-0008-0000-0000-00004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129</xdr:row>
          <xdr:rowOff>19050</xdr:rowOff>
        </xdr:from>
        <xdr:to>
          <xdr:col>16</xdr:col>
          <xdr:colOff>447675</xdr:colOff>
          <xdr:row>129</xdr:row>
          <xdr:rowOff>266700</xdr:rowOff>
        </xdr:to>
        <xdr:sp macro="" textlink="">
          <xdr:nvSpPr>
            <xdr:cNvPr id="1351" name="Button 327" hidden="1">
              <a:extLst>
                <a:ext uri="{63B3BB69-23CF-44E3-9099-C40C66FF867C}">
                  <a14:compatExt spid="_x0000_s1351"/>
                </a:ext>
                <a:ext uri="{FF2B5EF4-FFF2-40B4-BE49-F238E27FC236}">
                  <a16:creationId xmlns:a16="http://schemas.microsoft.com/office/drawing/2014/main" id="{00000000-0008-0000-0000-00004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130</xdr:row>
          <xdr:rowOff>19050</xdr:rowOff>
        </xdr:from>
        <xdr:to>
          <xdr:col>16</xdr:col>
          <xdr:colOff>447675</xdr:colOff>
          <xdr:row>130</xdr:row>
          <xdr:rowOff>266700</xdr:rowOff>
        </xdr:to>
        <xdr:sp macro="" textlink="">
          <xdr:nvSpPr>
            <xdr:cNvPr id="1352" name="Button 328" hidden="1">
              <a:extLst>
                <a:ext uri="{63B3BB69-23CF-44E3-9099-C40C66FF867C}">
                  <a14:compatExt spid="_x0000_s1352"/>
                </a:ext>
                <a:ext uri="{FF2B5EF4-FFF2-40B4-BE49-F238E27FC236}">
                  <a16:creationId xmlns:a16="http://schemas.microsoft.com/office/drawing/2014/main" id="{00000000-0008-0000-0000-00004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131</xdr:row>
          <xdr:rowOff>19050</xdr:rowOff>
        </xdr:from>
        <xdr:to>
          <xdr:col>16</xdr:col>
          <xdr:colOff>447675</xdr:colOff>
          <xdr:row>131</xdr:row>
          <xdr:rowOff>266700</xdr:rowOff>
        </xdr:to>
        <xdr:sp macro="" textlink="">
          <xdr:nvSpPr>
            <xdr:cNvPr id="1353" name="Button 329" hidden="1">
              <a:extLst>
                <a:ext uri="{63B3BB69-23CF-44E3-9099-C40C66FF867C}">
                  <a14:compatExt spid="_x0000_s1353"/>
                </a:ext>
                <a:ext uri="{FF2B5EF4-FFF2-40B4-BE49-F238E27FC236}">
                  <a16:creationId xmlns:a16="http://schemas.microsoft.com/office/drawing/2014/main" id="{00000000-0008-0000-0000-00004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132</xdr:row>
          <xdr:rowOff>19050</xdr:rowOff>
        </xdr:from>
        <xdr:to>
          <xdr:col>16</xdr:col>
          <xdr:colOff>447675</xdr:colOff>
          <xdr:row>132</xdr:row>
          <xdr:rowOff>266700</xdr:rowOff>
        </xdr:to>
        <xdr:sp macro="" textlink="">
          <xdr:nvSpPr>
            <xdr:cNvPr id="1354" name="Button 330" hidden="1">
              <a:extLst>
                <a:ext uri="{63B3BB69-23CF-44E3-9099-C40C66FF867C}">
                  <a14:compatExt spid="_x0000_s1354"/>
                </a:ext>
                <a:ext uri="{FF2B5EF4-FFF2-40B4-BE49-F238E27FC236}">
                  <a16:creationId xmlns:a16="http://schemas.microsoft.com/office/drawing/2014/main" id="{00000000-0008-0000-0000-00004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133</xdr:row>
          <xdr:rowOff>19050</xdr:rowOff>
        </xdr:from>
        <xdr:to>
          <xdr:col>16</xdr:col>
          <xdr:colOff>447675</xdr:colOff>
          <xdr:row>133</xdr:row>
          <xdr:rowOff>266700</xdr:rowOff>
        </xdr:to>
        <xdr:sp macro="" textlink="">
          <xdr:nvSpPr>
            <xdr:cNvPr id="1355" name="Button 331" hidden="1">
              <a:extLst>
                <a:ext uri="{63B3BB69-23CF-44E3-9099-C40C66FF867C}">
                  <a14:compatExt spid="_x0000_s1355"/>
                </a:ext>
                <a:ext uri="{FF2B5EF4-FFF2-40B4-BE49-F238E27FC236}">
                  <a16:creationId xmlns:a16="http://schemas.microsoft.com/office/drawing/2014/main" id="{00000000-0008-0000-0000-00004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134</xdr:row>
          <xdr:rowOff>19050</xdr:rowOff>
        </xdr:from>
        <xdr:to>
          <xdr:col>16</xdr:col>
          <xdr:colOff>447675</xdr:colOff>
          <xdr:row>134</xdr:row>
          <xdr:rowOff>266700</xdr:rowOff>
        </xdr:to>
        <xdr:sp macro="" textlink="">
          <xdr:nvSpPr>
            <xdr:cNvPr id="1356" name="Button 332" hidden="1">
              <a:extLst>
                <a:ext uri="{63B3BB69-23CF-44E3-9099-C40C66FF867C}">
                  <a14:compatExt spid="_x0000_s1356"/>
                </a:ext>
                <a:ext uri="{FF2B5EF4-FFF2-40B4-BE49-F238E27FC236}">
                  <a16:creationId xmlns:a16="http://schemas.microsoft.com/office/drawing/2014/main" id="{00000000-0008-0000-0000-00004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135</xdr:row>
          <xdr:rowOff>19050</xdr:rowOff>
        </xdr:from>
        <xdr:to>
          <xdr:col>16</xdr:col>
          <xdr:colOff>447675</xdr:colOff>
          <xdr:row>135</xdr:row>
          <xdr:rowOff>266700</xdr:rowOff>
        </xdr:to>
        <xdr:sp macro="" textlink="">
          <xdr:nvSpPr>
            <xdr:cNvPr id="1357" name="Button 333" hidden="1">
              <a:extLst>
                <a:ext uri="{63B3BB69-23CF-44E3-9099-C40C66FF867C}">
                  <a14:compatExt spid="_x0000_s1357"/>
                </a:ext>
                <a:ext uri="{FF2B5EF4-FFF2-40B4-BE49-F238E27FC236}">
                  <a16:creationId xmlns:a16="http://schemas.microsoft.com/office/drawing/2014/main" id="{00000000-0008-0000-0000-00004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136</xdr:row>
          <xdr:rowOff>19050</xdr:rowOff>
        </xdr:from>
        <xdr:to>
          <xdr:col>16</xdr:col>
          <xdr:colOff>447675</xdr:colOff>
          <xdr:row>136</xdr:row>
          <xdr:rowOff>266700</xdr:rowOff>
        </xdr:to>
        <xdr:sp macro="" textlink="">
          <xdr:nvSpPr>
            <xdr:cNvPr id="1358" name="Button 334" hidden="1">
              <a:extLst>
                <a:ext uri="{63B3BB69-23CF-44E3-9099-C40C66FF867C}">
                  <a14:compatExt spid="_x0000_s1358"/>
                </a:ext>
                <a:ext uri="{FF2B5EF4-FFF2-40B4-BE49-F238E27FC236}">
                  <a16:creationId xmlns:a16="http://schemas.microsoft.com/office/drawing/2014/main" id="{00000000-0008-0000-0000-00004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137</xdr:row>
          <xdr:rowOff>19050</xdr:rowOff>
        </xdr:from>
        <xdr:to>
          <xdr:col>16</xdr:col>
          <xdr:colOff>447675</xdr:colOff>
          <xdr:row>137</xdr:row>
          <xdr:rowOff>266700</xdr:rowOff>
        </xdr:to>
        <xdr:sp macro="" textlink="">
          <xdr:nvSpPr>
            <xdr:cNvPr id="1359" name="Button 335" hidden="1">
              <a:extLst>
                <a:ext uri="{63B3BB69-23CF-44E3-9099-C40C66FF867C}">
                  <a14:compatExt spid="_x0000_s1359"/>
                </a:ext>
                <a:ext uri="{FF2B5EF4-FFF2-40B4-BE49-F238E27FC236}">
                  <a16:creationId xmlns:a16="http://schemas.microsoft.com/office/drawing/2014/main" id="{00000000-0008-0000-0000-00004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138</xdr:row>
          <xdr:rowOff>19050</xdr:rowOff>
        </xdr:from>
        <xdr:to>
          <xdr:col>16</xdr:col>
          <xdr:colOff>447675</xdr:colOff>
          <xdr:row>138</xdr:row>
          <xdr:rowOff>266700</xdr:rowOff>
        </xdr:to>
        <xdr:sp macro="" textlink="">
          <xdr:nvSpPr>
            <xdr:cNvPr id="1360" name="Button 336" hidden="1">
              <a:extLst>
                <a:ext uri="{63B3BB69-23CF-44E3-9099-C40C66FF867C}">
                  <a14:compatExt spid="_x0000_s1360"/>
                </a:ext>
                <a:ext uri="{FF2B5EF4-FFF2-40B4-BE49-F238E27FC236}">
                  <a16:creationId xmlns:a16="http://schemas.microsoft.com/office/drawing/2014/main" id="{00000000-0008-0000-0000-00005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139</xdr:row>
          <xdr:rowOff>19050</xdr:rowOff>
        </xdr:from>
        <xdr:to>
          <xdr:col>16</xdr:col>
          <xdr:colOff>447675</xdr:colOff>
          <xdr:row>139</xdr:row>
          <xdr:rowOff>266700</xdr:rowOff>
        </xdr:to>
        <xdr:sp macro="" textlink="">
          <xdr:nvSpPr>
            <xdr:cNvPr id="1361" name="Button 337" hidden="1">
              <a:extLst>
                <a:ext uri="{63B3BB69-23CF-44E3-9099-C40C66FF867C}">
                  <a14:compatExt spid="_x0000_s1361"/>
                </a:ext>
                <a:ext uri="{FF2B5EF4-FFF2-40B4-BE49-F238E27FC236}">
                  <a16:creationId xmlns:a16="http://schemas.microsoft.com/office/drawing/2014/main" id="{00000000-0008-0000-0000-00005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140</xdr:row>
          <xdr:rowOff>19050</xdr:rowOff>
        </xdr:from>
        <xdr:to>
          <xdr:col>16</xdr:col>
          <xdr:colOff>447675</xdr:colOff>
          <xdr:row>140</xdr:row>
          <xdr:rowOff>266700</xdr:rowOff>
        </xdr:to>
        <xdr:sp macro="" textlink="">
          <xdr:nvSpPr>
            <xdr:cNvPr id="1362" name="Button 338" hidden="1">
              <a:extLst>
                <a:ext uri="{63B3BB69-23CF-44E3-9099-C40C66FF867C}">
                  <a14:compatExt spid="_x0000_s1362"/>
                </a:ext>
                <a:ext uri="{FF2B5EF4-FFF2-40B4-BE49-F238E27FC236}">
                  <a16:creationId xmlns:a16="http://schemas.microsoft.com/office/drawing/2014/main" id="{00000000-0008-0000-0000-00005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141</xdr:row>
          <xdr:rowOff>19050</xdr:rowOff>
        </xdr:from>
        <xdr:to>
          <xdr:col>16</xdr:col>
          <xdr:colOff>447675</xdr:colOff>
          <xdr:row>141</xdr:row>
          <xdr:rowOff>266700</xdr:rowOff>
        </xdr:to>
        <xdr:sp macro="" textlink="">
          <xdr:nvSpPr>
            <xdr:cNvPr id="1363" name="Button 339" hidden="1">
              <a:extLst>
                <a:ext uri="{63B3BB69-23CF-44E3-9099-C40C66FF867C}">
                  <a14:compatExt spid="_x0000_s1363"/>
                </a:ext>
                <a:ext uri="{FF2B5EF4-FFF2-40B4-BE49-F238E27FC236}">
                  <a16:creationId xmlns:a16="http://schemas.microsoft.com/office/drawing/2014/main" id="{00000000-0008-0000-0000-00005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142</xdr:row>
          <xdr:rowOff>19050</xdr:rowOff>
        </xdr:from>
        <xdr:to>
          <xdr:col>16</xdr:col>
          <xdr:colOff>447675</xdr:colOff>
          <xdr:row>142</xdr:row>
          <xdr:rowOff>266700</xdr:rowOff>
        </xdr:to>
        <xdr:sp macro="" textlink="">
          <xdr:nvSpPr>
            <xdr:cNvPr id="1364" name="Button 340" hidden="1">
              <a:extLst>
                <a:ext uri="{63B3BB69-23CF-44E3-9099-C40C66FF867C}">
                  <a14:compatExt spid="_x0000_s1364"/>
                </a:ext>
                <a:ext uri="{FF2B5EF4-FFF2-40B4-BE49-F238E27FC236}">
                  <a16:creationId xmlns:a16="http://schemas.microsoft.com/office/drawing/2014/main" id="{00000000-0008-0000-0000-00005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143</xdr:row>
          <xdr:rowOff>19050</xdr:rowOff>
        </xdr:from>
        <xdr:to>
          <xdr:col>16</xdr:col>
          <xdr:colOff>447675</xdr:colOff>
          <xdr:row>143</xdr:row>
          <xdr:rowOff>266700</xdr:rowOff>
        </xdr:to>
        <xdr:sp macro="" textlink="">
          <xdr:nvSpPr>
            <xdr:cNvPr id="1365" name="Button 341" hidden="1">
              <a:extLst>
                <a:ext uri="{63B3BB69-23CF-44E3-9099-C40C66FF867C}">
                  <a14:compatExt spid="_x0000_s1365"/>
                </a:ext>
                <a:ext uri="{FF2B5EF4-FFF2-40B4-BE49-F238E27FC236}">
                  <a16:creationId xmlns:a16="http://schemas.microsoft.com/office/drawing/2014/main" id="{00000000-0008-0000-0000-00005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144</xdr:row>
          <xdr:rowOff>19050</xdr:rowOff>
        </xdr:from>
        <xdr:to>
          <xdr:col>16</xdr:col>
          <xdr:colOff>447675</xdr:colOff>
          <xdr:row>144</xdr:row>
          <xdr:rowOff>266700</xdr:rowOff>
        </xdr:to>
        <xdr:sp macro="" textlink="">
          <xdr:nvSpPr>
            <xdr:cNvPr id="1366" name="Button 342" hidden="1">
              <a:extLst>
                <a:ext uri="{63B3BB69-23CF-44E3-9099-C40C66FF867C}">
                  <a14:compatExt spid="_x0000_s1366"/>
                </a:ext>
                <a:ext uri="{FF2B5EF4-FFF2-40B4-BE49-F238E27FC236}">
                  <a16:creationId xmlns:a16="http://schemas.microsoft.com/office/drawing/2014/main" id="{00000000-0008-0000-0000-00005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145</xdr:row>
          <xdr:rowOff>19050</xdr:rowOff>
        </xdr:from>
        <xdr:to>
          <xdr:col>16</xdr:col>
          <xdr:colOff>447675</xdr:colOff>
          <xdr:row>145</xdr:row>
          <xdr:rowOff>266700</xdr:rowOff>
        </xdr:to>
        <xdr:sp macro="" textlink="">
          <xdr:nvSpPr>
            <xdr:cNvPr id="1367" name="Button 343" hidden="1">
              <a:extLst>
                <a:ext uri="{63B3BB69-23CF-44E3-9099-C40C66FF867C}">
                  <a14:compatExt spid="_x0000_s1367"/>
                </a:ext>
                <a:ext uri="{FF2B5EF4-FFF2-40B4-BE49-F238E27FC236}">
                  <a16:creationId xmlns:a16="http://schemas.microsoft.com/office/drawing/2014/main" id="{00000000-0008-0000-0000-00005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146</xdr:row>
          <xdr:rowOff>19050</xdr:rowOff>
        </xdr:from>
        <xdr:to>
          <xdr:col>16</xdr:col>
          <xdr:colOff>447675</xdr:colOff>
          <xdr:row>146</xdr:row>
          <xdr:rowOff>266700</xdr:rowOff>
        </xdr:to>
        <xdr:sp macro="" textlink="">
          <xdr:nvSpPr>
            <xdr:cNvPr id="1368" name="Button 344" hidden="1">
              <a:extLst>
                <a:ext uri="{63B3BB69-23CF-44E3-9099-C40C66FF867C}">
                  <a14:compatExt spid="_x0000_s1368"/>
                </a:ext>
                <a:ext uri="{FF2B5EF4-FFF2-40B4-BE49-F238E27FC236}">
                  <a16:creationId xmlns:a16="http://schemas.microsoft.com/office/drawing/2014/main" id="{00000000-0008-0000-0000-00005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147</xdr:row>
          <xdr:rowOff>19050</xdr:rowOff>
        </xdr:from>
        <xdr:to>
          <xdr:col>16</xdr:col>
          <xdr:colOff>447675</xdr:colOff>
          <xdr:row>147</xdr:row>
          <xdr:rowOff>266700</xdr:rowOff>
        </xdr:to>
        <xdr:sp macro="" textlink="">
          <xdr:nvSpPr>
            <xdr:cNvPr id="1369" name="Button 345" hidden="1">
              <a:extLst>
                <a:ext uri="{63B3BB69-23CF-44E3-9099-C40C66FF867C}">
                  <a14:compatExt spid="_x0000_s1369"/>
                </a:ext>
                <a:ext uri="{FF2B5EF4-FFF2-40B4-BE49-F238E27FC236}">
                  <a16:creationId xmlns:a16="http://schemas.microsoft.com/office/drawing/2014/main" id="{00000000-0008-0000-0000-00005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148</xdr:row>
          <xdr:rowOff>19050</xdr:rowOff>
        </xdr:from>
        <xdr:to>
          <xdr:col>16</xdr:col>
          <xdr:colOff>447675</xdr:colOff>
          <xdr:row>148</xdr:row>
          <xdr:rowOff>266700</xdr:rowOff>
        </xdr:to>
        <xdr:sp macro="" textlink="">
          <xdr:nvSpPr>
            <xdr:cNvPr id="1370" name="Button 346" hidden="1">
              <a:extLst>
                <a:ext uri="{63B3BB69-23CF-44E3-9099-C40C66FF867C}">
                  <a14:compatExt spid="_x0000_s1370"/>
                </a:ext>
                <a:ext uri="{FF2B5EF4-FFF2-40B4-BE49-F238E27FC236}">
                  <a16:creationId xmlns:a16="http://schemas.microsoft.com/office/drawing/2014/main" id="{00000000-0008-0000-0000-00005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149</xdr:row>
          <xdr:rowOff>19050</xdr:rowOff>
        </xdr:from>
        <xdr:to>
          <xdr:col>16</xdr:col>
          <xdr:colOff>447675</xdr:colOff>
          <xdr:row>149</xdr:row>
          <xdr:rowOff>266700</xdr:rowOff>
        </xdr:to>
        <xdr:sp macro="" textlink="">
          <xdr:nvSpPr>
            <xdr:cNvPr id="1371" name="Button 347" hidden="1">
              <a:extLst>
                <a:ext uri="{63B3BB69-23CF-44E3-9099-C40C66FF867C}">
                  <a14:compatExt spid="_x0000_s1371"/>
                </a:ext>
                <a:ext uri="{FF2B5EF4-FFF2-40B4-BE49-F238E27FC236}">
                  <a16:creationId xmlns:a16="http://schemas.microsoft.com/office/drawing/2014/main" id="{00000000-0008-0000-0000-00005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150</xdr:row>
          <xdr:rowOff>19050</xdr:rowOff>
        </xdr:from>
        <xdr:to>
          <xdr:col>16</xdr:col>
          <xdr:colOff>447675</xdr:colOff>
          <xdr:row>150</xdr:row>
          <xdr:rowOff>266700</xdr:rowOff>
        </xdr:to>
        <xdr:sp macro="" textlink="">
          <xdr:nvSpPr>
            <xdr:cNvPr id="1372" name="Button 348" hidden="1">
              <a:extLst>
                <a:ext uri="{63B3BB69-23CF-44E3-9099-C40C66FF867C}">
                  <a14:compatExt spid="_x0000_s1372"/>
                </a:ext>
                <a:ext uri="{FF2B5EF4-FFF2-40B4-BE49-F238E27FC236}">
                  <a16:creationId xmlns:a16="http://schemas.microsoft.com/office/drawing/2014/main" id="{00000000-0008-0000-0000-00005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151</xdr:row>
          <xdr:rowOff>19050</xdr:rowOff>
        </xdr:from>
        <xdr:to>
          <xdr:col>16</xdr:col>
          <xdr:colOff>447675</xdr:colOff>
          <xdr:row>151</xdr:row>
          <xdr:rowOff>266700</xdr:rowOff>
        </xdr:to>
        <xdr:sp macro="" textlink="">
          <xdr:nvSpPr>
            <xdr:cNvPr id="1373" name="Button 349" hidden="1">
              <a:extLst>
                <a:ext uri="{63B3BB69-23CF-44E3-9099-C40C66FF867C}">
                  <a14:compatExt spid="_x0000_s1373"/>
                </a:ext>
                <a:ext uri="{FF2B5EF4-FFF2-40B4-BE49-F238E27FC236}">
                  <a16:creationId xmlns:a16="http://schemas.microsoft.com/office/drawing/2014/main" id="{00000000-0008-0000-0000-00005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152</xdr:row>
          <xdr:rowOff>19050</xdr:rowOff>
        </xdr:from>
        <xdr:to>
          <xdr:col>16</xdr:col>
          <xdr:colOff>447675</xdr:colOff>
          <xdr:row>152</xdr:row>
          <xdr:rowOff>266700</xdr:rowOff>
        </xdr:to>
        <xdr:sp macro="" textlink="">
          <xdr:nvSpPr>
            <xdr:cNvPr id="1374" name="Button 350" hidden="1">
              <a:extLst>
                <a:ext uri="{63B3BB69-23CF-44E3-9099-C40C66FF867C}">
                  <a14:compatExt spid="_x0000_s1374"/>
                </a:ext>
                <a:ext uri="{FF2B5EF4-FFF2-40B4-BE49-F238E27FC236}">
                  <a16:creationId xmlns:a16="http://schemas.microsoft.com/office/drawing/2014/main" id="{00000000-0008-0000-0000-00005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153</xdr:row>
          <xdr:rowOff>19050</xdr:rowOff>
        </xdr:from>
        <xdr:to>
          <xdr:col>16</xdr:col>
          <xdr:colOff>447675</xdr:colOff>
          <xdr:row>153</xdr:row>
          <xdr:rowOff>266700</xdr:rowOff>
        </xdr:to>
        <xdr:sp macro="" textlink="">
          <xdr:nvSpPr>
            <xdr:cNvPr id="1375" name="Button 351" hidden="1">
              <a:extLst>
                <a:ext uri="{63B3BB69-23CF-44E3-9099-C40C66FF867C}">
                  <a14:compatExt spid="_x0000_s1375"/>
                </a:ext>
                <a:ext uri="{FF2B5EF4-FFF2-40B4-BE49-F238E27FC236}">
                  <a16:creationId xmlns:a16="http://schemas.microsoft.com/office/drawing/2014/main" id="{00000000-0008-0000-0000-00005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154</xdr:row>
          <xdr:rowOff>19050</xdr:rowOff>
        </xdr:from>
        <xdr:to>
          <xdr:col>16</xdr:col>
          <xdr:colOff>447675</xdr:colOff>
          <xdr:row>154</xdr:row>
          <xdr:rowOff>266700</xdr:rowOff>
        </xdr:to>
        <xdr:sp macro="" textlink="">
          <xdr:nvSpPr>
            <xdr:cNvPr id="1376" name="Button 352" hidden="1">
              <a:extLst>
                <a:ext uri="{63B3BB69-23CF-44E3-9099-C40C66FF867C}">
                  <a14:compatExt spid="_x0000_s1376"/>
                </a:ext>
                <a:ext uri="{FF2B5EF4-FFF2-40B4-BE49-F238E27FC236}">
                  <a16:creationId xmlns:a16="http://schemas.microsoft.com/office/drawing/2014/main" id="{00000000-0008-0000-0000-00006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155</xdr:row>
          <xdr:rowOff>19050</xdr:rowOff>
        </xdr:from>
        <xdr:to>
          <xdr:col>16</xdr:col>
          <xdr:colOff>447675</xdr:colOff>
          <xdr:row>155</xdr:row>
          <xdr:rowOff>266700</xdr:rowOff>
        </xdr:to>
        <xdr:sp macro="" textlink="">
          <xdr:nvSpPr>
            <xdr:cNvPr id="1377" name="Button 353" hidden="1">
              <a:extLst>
                <a:ext uri="{63B3BB69-23CF-44E3-9099-C40C66FF867C}">
                  <a14:compatExt spid="_x0000_s1377"/>
                </a:ext>
                <a:ext uri="{FF2B5EF4-FFF2-40B4-BE49-F238E27FC236}">
                  <a16:creationId xmlns:a16="http://schemas.microsoft.com/office/drawing/2014/main" id="{00000000-0008-0000-0000-00006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156</xdr:row>
          <xdr:rowOff>19050</xdr:rowOff>
        </xdr:from>
        <xdr:to>
          <xdr:col>16</xdr:col>
          <xdr:colOff>447675</xdr:colOff>
          <xdr:row>156</xdr:row>
          <xdr:rowOff>266700</xdr:rowOff>
        </xdr:to>
        <xdr:sp macro="" textlink="">
          <xdr:nvSpPr>
            <xdr:cNvPr id="1378" name="Button 354" hidden="1">
              <a:extLst>
                <a:ext uri="{63B3BB69-23CF-44E3-9099-C40C66FF867C}">
                  <a14:compatExt spid="_x0000_s1378"/>
                </a:ext>
                <a:ext uri="{FF2B5EF4-FFF2-40B4-BE49-F238E27FC236}">
                  <a16:creationId xmlns:a16="http://schemas.microsoft.com/office/drawing/2014/main" id="{00000000-0008-0000-0000-00006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157</xdr:row>
          <xdr:rowOff>19050</xdr:rowOff>
        </xdr:from>
        <xdr:to>
          <xdr:col>16</xdr:col>
          <xdr:colOff>447675</xdr:colOff>
          <xdr:row>157</xdr:row>
          <xdr:rowOff>266700</xdr:rowOff>
        </xdr:to>
        <xdr:sp macro="" textlink="">
          <xdr:nvSpPr>
            <xdr:cNvPr id="1379" name="Button 355" hidden="1">
              <a:extLst>
                <a:ext uri="{63B3BB69-23CF-44E3-9099-C40C66FF867C}">
                  <a14:compatExt spid="_x0000_s1379"/>
                </a:ext>
                <a:ext uri="{FF2B5EF4-FFF2-40B4-BE49-F238E27FC236}">
                  <a16:creationId xmlns:a16="http://schemas.microsoft.com/office/drawing/2014/main" id="{00000000-0008-0000-0000-00006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158</xdr:row>
          <xdr:rowOff>19050</xdr:rowOff>
        </xdr:from>
        <xdr:to>
          <xdr:col>16</xdr:col>
          <xdr:colOff>447675</xdr:colOff>
          <xdr:row>158</xdr:row>
          <xdr:rowOff>266700</xdr:rowOff>
        </xdr:to>
        <xdr:sp macro="" textlink="">
          <xdr:nvSpPr>
            <xdr:cNvPr id="1380" name="Button 356"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159</xdr:row>
          <xdr:rowOff>19050</xdr:rowOff>
        </xdr:from>
        <xdr:to>
          <xdr:col>16</xdr:col>
          <xdr:colOff>447675</xdr:colOff>
          <xdr:row>159</xdr:row>
          <xdr:rowOff>266700</xdr:rowOff>
        </xdr:to>
        <xdr:sp macro="" textlink="">
          <xdr:nvSpPr>
            <xdr:cNvPr id="1381" name="Button 357" hidden="1">
              <a:extLst>
                <a:ext uri="{63B3BB69-23CF-44E3-9099-C40C66FF867C}">
                  <a14:compatExt spid="_x0000_s1381"/>
                </a:ext>
                <a:ext uri="{FF2B5EF4-FFF2-40B4-BE49-F238E27FC236}">
                  <a16:creationId xmlns:a16="http://schemas.microsoft.com/office/drawing/2014/main" id="{00000000-0008-0000-0000-00006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160</xdr:row>
          <xdr:rowOff>19050</xdr:rowOff>
        </xdr:from>
        <xdr:to>
          <xdr:col>16</xdr:col>
          <xdr:colOff>447675</xdr:colOff>
          <xdr:row>160</xdr:row>
          <xdr:rowOff>266700</xdr:rowOff>
        </xdr:to>
        <xdr:sp macro="" textlink="">
          <xdr:nvSpPr>
            <xdr:cNvPr id="1382" name="Button 358" hidden="1">
              <a:extLst>
                <a:ext uri="{63B3BB69-23CF-44E3-9099-C40C66FF867C}">
                  <a14:compatExt spid="_x0000_s1382"/>
                </a:ext>
                <a:ext uri="{FF2B5EF4-FFF2-40B4-BE49-F238E27FC236}">
                  <a16:creationId xmlns:a16="http://schemas.microsoft.com/office/drawing/2014/main" id="{00000000-0008-0000-0000-00006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26</xdr:row>
          <xdr:rowOff>28575</xdr:rowOff>
        </xdr:from>
        <xdr:to>
          <xdr:col>16</xdr:col>
          <xdr:colOff>466725</xdr:colOff>
          <xdr:row>26</xdr:row>
          <xdr:rowOff>266700</xdr:rowOff>
        </xdr:to>
        <xdr:sp macro="" textlink="">
          <xdr:nvSpPr>
            <xdr:cNvPr id="1383" name="Button 359" hidden="1">
              <a:extLst>
                <a:ext uri="{63B3BB69-23CF-44E3-9099-C40C66FF867C}">
                  <a14:compatExt spid="_x0000_s1383"/>
                </a:ext>
                <a:ext uri="{FF2B5EF4-FFF2-40B4-BE49-F238E27FC236}">
                  <a16:creationId xmlns:a16="http://schemas.microsoft.com/office/drawing/2014/main" id="{00000000-0008-0000-0000-00006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51</xdr:row>
          <xdr:rowOff>28575</xdr:rowOff>
        </xdr:from>
        <xdr:to>
          <xdr:col>16</xdr:col>
          <xdr:colOff>447675</xdr:colOff>
          <xdr:row>51</xdr:row>
          <xdr:rowOff>266700</xdr:rowOff>
        </xdr:to>
        <xdr:sp macro="" textlink="">
          <xdr:nvSpPr>
            <xdr:cNvPr id="1384" name="Button 360" hidden="1">
              <a:extLst>
                <a:ext uri="{63B3BB69-23CF-44E3-9099-C40C66FF867C}">
                  <a14:compatExt spid="_x0000_s1384"/>
                </a:ext>
                <a:ext uri="{FF2B5EF4-FFF2-40B4-BE49-F238E27FC236}">
                  <a16:creationId xmlns:a16="http://schemas.microsoft.com/office/drawing/2014/main" id="{00000000-0008-0000-0000-00006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50</xdr:row>
          <xdr:rowOff>19050</xdr:rowOff>
        </xdr:from>
        <xdr:to>
          <xdr:col>16</xdr:col>
          <xdr:colOff>457200</xdr:colOff>
          <xdr:row>50</xdr:row>
          <xdr:rowOff>266700</xdr:rowOff>
        </xdr:to>
        <xdr:sp macro="" textlink="">
          <xdr:nvSpPr>
            <xdr:cNvPr id="1385" name="Button 361" hidden="1">
              <a:extLst>
                <a:ext uri="{63B3BB69-23CF-44E3-9099-C40C66FF867C}">
                  <a14:compatExt spid="_x0000_s1385"/>
                </a:ext>
                <a:ext uri="{FF2B5EF4-FFF2-40B4-BE49-F238E27FC236}">
                  <a16:creationId xmlns:a16="http://schemas.microsoft.com/office/drawing/2014/main" id="{00000000-0008-0000-0000-00006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52</xdr:row>
          <xdr:rowOff>19050</xdr:rowOff>
        </xdr:from>
        <xdr:to>
          <xdr:col>16</xdr:col>
          <xdr:colOff>447675</xdr:colOff>
          <xdr:row>52</xdr:row>
          <xdr:rowOff>266700</xdr:rowOff>
        </xdr:to>
        <xdr:sp macro="" textlink="">
          <xdr:nvSpPr>
            <xdr:cNvPr id="1386" name="Button 362" hidden="1">
              <a:extLst>
                <a:ext uri="{63B3BB69-23CF-44E3-9099-C40C66FF867C}">
                  <a14:compatExt spid="_x0000_s1386"/>
                </a:ext>
                <a:ext uri="{FF2B5EF4-FFF2-40B4-BE49-F238E27FC236}">
                  <a16:creationId xmlns:a16="http://schemas.microsoft.com/office/drawing/2014/main" id="{00000000-0008-0000-0000-00006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74</xdr:row>
          <xdr:rowOff>19050</xdr:rowOff>
        </xdr:from>
        <xdr:to>
          <xdr:col>16</xdr:col>
          <xdr:colOff>447675</xdr:colOff>
          <xdr:row>74</xdr:row>
          <xdr:rowOff>276225</xdr:rowOff>
        </xdr:to>
        <xdr:sp macro="" textlink="">
          <xdr:nvSpPr>
            <xdr:cNvPr id="1387" name="Button 363" hidden="1">
              <a:extLst>
                <a:ext uri="{63B3BB69-23CF-44E3-9099-C40C66FF867C}">
                  <a14:compatExt spid="_x0000_s1387"/>
                </a:ext>
                <a:ext uri="{FF2B5EF4-FFF2-40B4-BE49-F238E27FC236}">
                  <a16:creationId xmlns:a16="http://schemas.microsoft.com/office/drawing/2014/main" id="{00000000-0008-0000-0000-00006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74</a:t>
              </a:r>
            </a:p>
          </xdr:txBody>
        </xdr:sp>
        <xdr:clientData fPrintsWithSheet="0"/>
      </xdr:twoCellAnchor>
    </mc:Choice>
    <mc:Fallback/>
  </mc:AlternateContent>
  <xdr:twoCellAnchor>
    <xdr:from>
      <xdr:col>6</xdr:col>
      <xdr:colOff>28575</xdr:colOff>
      <xdr:row>1</xdr:row>
      <xdr:rowOff>19050</xdr:rowOff>
    </xdr:from>
    <xdr:to>
      <xdr:col>6</xdr:col>
      <xdr:colOff>457200</xdr:colOff>
      <xdr:row>1</xdr:row>
      <xdr:rowOff>276225</xdr:rowOff>
    </xdr:to>
    <xdr:sp macro="" textlink="">
      <xdr:nvSpPr>
        <xdr:cNvPr id="1710"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A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AlternateContent xmlns:mc="http://schemas.openxmlformats.org/markup-compatibility/2006">
    <mc:Choice xmlns:a14="http://schemas.microsoft.com/office/drawing/2010/main" Requires="a14">
      <xdr:twoCellAnchor>
        <xdr:from>
          <xdr:col>6</xdr:col>
          <xdr:colOff>19050</xdr:colOff>
          <xdr:row>2</xdr:row>
          <xdr:rowOff>38100</xdr:rowOff>
        </xdr:from>
        <xdr:to>
          <xdr:col>6</xdr:col>
          <xdr:colOff>457200</xdr:colOff>
          <xdr:row>2</xdr:row>
          <xdr:rowOff>285750</xdr:rowOff>
        </xdr:to>
        <xdr:sp macro="" textlink="">
          <xdr:nvSpPr>
            <xdr:cNvPr id="1711" name="Button 30" hidden="1">
              <a:extLst>
                <a:ext uri="{63B3BB69-23CF-44E3-9099-C40C66FF867C}">
                  <a14:compatExt spid="_x0000_s1711"/>
                </a:ext>
                <a:ext uri="{FF2B5EF4-FFF2-40B4-BE49-F238E27FC236}">
                  <a16:creationId xmlns:a16="http://schemas.microsoft.com/office/drawing/2014/main" id="{00000000-0008-0000-0000-0000A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3</xdr:row>
          <xdr:rowOff>28575</xdr:rowOff>
        </xdr:from>
        <xdr:to>
          <xdr:col>6</xdr:col>
          <xdr:colOff>457200</xdr:colOff>
          <xdr:row>3</xdr:row>
          <xdr:rowOff>276225</xdr:rowOff>
        </xdr:to>
        <xdr:sp macro="" textlink="">
          <xdr:nvSpPr>
            <xdr:cNvPr id="1712" name="Button 34" hidden="1">
              <a:extLst>
                <a:ext uri="{63B3BB69-23CF-44E3-9099-C40C66FF867C}">
                  <a14:compatExt spid="_x0000_s1712"/>
                </a:ext>
                <a:ext uri="{FF2B5EF4-FFF2-40B4-BE49-F238E27FC236}">
                  <a16:creationId xmlns:a16="http://schemas.microsoft.com/office/drawing/2014/main" id="{00000000-0008-0000-0000-0000B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447675</xdr:colOff>
          <xdr:row>4</xdr:row>
          <xdr:rowOff>266700</xdr:rowOff>
        </xdr:to>
        <xdr:sp macro="" textlink="">
          <xdr:nvSpPr>
            <xdr:cNvPr id="1713" name="Button 38" hidden="1">
              <a:extLst>
                <a:ext uri="{63B3BB69-23CF-44E3-9099-C40C66FF867C}">
                  <a14:compatExt spid="_x0000_s1713"/>
                </a:ext>
                <a:ext uri="{FF2B5EF4-FFF2-40B4-BE49-F238E27FC236}">
                  <a16:creationId xmlns:a16="http://schemas.microsoft.com/office/drawing/2014/main" id="{00000000-0008-0000-0000-0000B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5</xdr:row>
          <xdr:rowOff>28575</xdr:rowOff>
        </xdr:from>
        <xdr:to>
          <xdr:col>6</xdr:col>
          <xdr:colOff>447675</xdr:colOff>
          <xdr:row>5</xdr:row>
          <xdr:rowOff>266700</xdr:rowOff>
        </xdr:to>
        <xdr:sp macro="" textlink="">
          <xdr:nvSpPr>
            <xdr:cNvPr id="1714" name="Button 40" hidden="1">
              <a:extLst>
                <a:ext uri="{63B3BB69-23CF-44E3-9099-C40C66FF867C}">
                  <a14:compatExt spid="_x0000_s1714"/>
                </a:ext>
                <a:ext uri="{FF2B5EF4-FFF2-40B4-BE49-F238E27FC236}">
                  <a16:creationId xmlns:a16="http://schemas.microsoft.com/office/drawing/2014/main" id="{00000000-0008-0000-0000-0000B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6</xdr:row>
          <xdr:rowOff>38100</xdr:rowOff>
        </xdr:from>
        <xdr:to>
          <xdr:col>6</xdr:col>
          <xdr:colOff>447675</xdr:colOff>
          <xdr:row>6</xdr:row>
          <xdr:rowOff>266700</xdr:rowOff>
        </xdr:to>
        <xdr:sp macro="" textlink="">
          <xdr:nvSpPr>
            <xdr:cNvPr id="1715" name="Button 43" hidden="1">
              <a:extLst>
                <a:ext uri="{63B3BB69-23CF-44E3-9099-C40C66FF867C}">
                  <a14:compatExt spid="_x0000_s1715"/>
                </a:ext>
                <a:ext uri="{FF2B5EF4-FFF2-40B4-BE49-F238E27FC236}">
                  <a16:creationId xmlns:a16="http://schemas.microsoft.com/office/drawing/2014/main" id="{00000000-0008-0000-0000-0000B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7</xdr:row>
          <xdr:rowOff>19050</xdr:rowOff>
        </xdr:from>
        <xdr:to>
          <xdr:col>6</xdr:col>
          <xdr:colOff>447675</xdr:colOff>
          <xdr:row>7</xdr:row>
          <xdr:rowOff>266700</xdr:rowOff>
        </xdr:to>
        <xdr:sp macro="" textlink="">
          <xdr:nvSpPr>
            <xdr:cNvPr id="1716" name="Button 45" hidden="1">
              <a:extLst>
                <a:ext uri="{63B3BB69-23CF-44E3-9099-C40C66FF867C}">
                  <a14:compatExt spid="_x0000_s1716"/>
                </a:ext>
                <a:ext uri="{FF2B5EF4-FFF2-40B4-BE49-F238E27FC236}">
                  <a16:creationId xmlns:a16="http://schemas.microsoft.com/office/drawing/2014/main" id="{00000000-0008-0000-0000-0000B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8</xdr:row>
          <xdr:rowOff>19050</xdr:rowOff>
        </xdr:from>
        <xdr:to>
          <xdr:col>6</xdr:col>
          <xdr:colOff>447675</xdr:colOff>
          <xdr:row>8</xdr:row>
          <xdr:rowOff>266700</xdr:rowOff>
        </xdr:to>
        <xdr:sp macro="" textlink="">
          <xdr:nvSpPr>
            <xdr:cNvPr id="1717" name="Button 48" hidden="1">
              <a:extLst>
                <a:ext uri="{63B3BB69-23CF-44E3-9099-C40C66FF867C}">
                  <a14:compatExt spid="_x0000_s1717"/>
                </a:ext>
                <a:ext uri="{FF2B5EF4-FFF2-40B4-BE49-F238E27FC236}">
                  <a16:creationId xmlns:a16="http://schemas.microsoft.com/office/drawing/2014/main" id="{00000000-0008-0000-0000-0000B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9</xdr:row>
          <xdr:rowOff>19050</xdr:rowOff>
        </xdr:from>
        <xdr:to>
          <xdr:col>6</xdr:col>
          <xdr:colOff>447675</xdr:colOff>
          <xdr:row>9</xdr:row>
          <xdr:rowOff>266700</xdr:rowOff>
        </xdr:to>
        <xdr:sp macro="" textlink="">
          <xdr:nvSpPr>
            <xdr:cNvPr id="1718" name="Button 50" hidden="1">
              <a:extLst>
                <a:ext uri="{63B3BB69-23CF-44E3-9099-C40C66FF867C}">
                  <a14:compatExt spid="_x0000_s1718"/>
                </a:ext>
                <a:ext uri="{FF2B5EF4-FFF2-40B4-BE49-F238E27FC236}">
                  <a16:creationId xmlns:a16="http://schemas.microsoft.com/office/drawing/2014/main" id="{00000000-0008-0000-0000-0000B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Pulsante 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9</xdr:row>
          <xdr:rowOff>19050</xdr:rowOff>
        </xdr:from>
        <xdr:to>
          <xdr:col>6</xdr:col>
          <xdr:colOff>447675</xdr:colOff>
          <xdr:row>9</xdr:row>
          <xdr:rowOff>266700</xdr:rowOff>
        </xdr:to>
        <xdr:sp macro="" textlink="">
          <xdr:nvSpPr>
            <xdr:cNvPr id="1719" name="Button 51" hidden="1">
              <a:extLst>
                <a:ext uri="{63B3BB69-23CF-44E3-9099-C40C66FF867C}">
                  <a14:compatExt spid="_x0000_s1719"/>
                </a:ext>
                <a:ext uri="{FF2B5EF4-FFF2-40B4-BE49-F238E27FC236}">
                  <a16:creationId xmlns:a16="http://schemas.microsoft.com/office/drawing/2014/main" id="{00000000-0008-0000-0000-0000B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10</xdr:row>
          <xdr:rowOff>19050</xdr:rowOff>
        </xdr:from>
        <xdr:to>
          <xdr:col>6</xdr:col>
          <xdr:colOff>447675</xdr:colOff>
          <xdr:row>10</xdr:row>
          <xdr:rowOff>266700</xdr:rowOff>
        </xdr:to>
        <xdr:sp macro="" textlink="">
          <xdr:nvSpPr>
            <xdr:cNvPr id="1720" name="Button 52" hidden="1">
              <a:extLst>
                <a:ext uri="{63B3BB69-23CF-44E3-9099-C40C66FF867C}">
                  <a14:compatExt spid="_x0000_s1720"/>
                </a:ext>
                <a:ext uri="{FF2B5EF4-FFF2-40B4-BE49-F238E27FC236}">
                  <a16:creationId xmlns:a16="http://schemas.microsoft.com/office/drawing/2014/main" id="{00000000-0008-0000-0000-0000B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11</xdr:row>
          <xdr:rowOff>19050</xdr:rowOff>
        </xdr:from>
        <xdr:to>
          <xdr:col>6</xdr:col>
          <xdr:colOff>447675</xdr:colOff>
          <xdr:row>11</xdr:row>
          <xdr:rowOff>266700</xdr:rowOff>
        </xdr:to>
        <xdr:sp macro="" textlink="">
          <xdr:nvSpPr>
            <xdr:cNvPr id="1721" name="Button 53" hidden="1">
              <a:extLst>
                <a:ext uri="{63B3BB69-23CF-44E3-9099-C40C66FF867C}">
                  <a14:compatExt spid="_x0000_s1721"/>
                </a:ext>
                <a:ext uri="{FF2B5EF4-FFF2-40B4-BE49-F238E27FC236}">
                  <a16:creationId xmlns:a16="http://schemas.microsoft.com/office/drawing/2014/main" id="{00000000-0008-0000-0000-0000B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12</xdr:row>
          <xdr:rowOff>19050</xdr:rowOff>
        </xdr:from>
        <xdr:to>
          <xdr:col>6</xdr:col>
          <xdr:colOff>447675</xdr:colOff>
          <xdr:row>12</xdr:row>
          <xdr:rowOff>266700</xdr:rowOff>
        </xdr:to>
        <xdr:sp macro="" textlink="">
          <xdr:nvSpPr>
            <xdr:cNvPr id="1722" name="Button 54" hidden="1">
              <a:extLst>
                <a:ext uri="{63B3BB69-23CF-44E3-9099-C40C66FF867C}">
                  <a14:compatExt spid="_x0000_s1722"/>
                </a:ext>
                <a:ext uri="{FF2B5EF4-FFF2-40B4-BE49-F238E27FC236}">
                  <a16:creationId xmlns:a16="http://schemas.microsoft.com/office/drawing/2014/main" id="{00000000-0008-0000-0000-0000B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13</xdr:row>
          <xdr:rowOff>19050</xdr:rowOff>
        </xdr:from>
        <xdr:to>
          <xdr:col>6</xdr:col>
          <xdr:colOff>447675</xdr:colOff>
          <xdr:row>13</xdr:row>
          <xdr:rowOff>266700</xdr:rowOff>
        </xdr:to>
        <xdr:sp macro="" textlink="">
          <xdr:nvSpPr>
            <xdr:cNvPr id="1723" name="Button 55" hidden="1">
              <a:extLst>
                <a:ext uri="{63B3BB69-23CF-44E3-9099-C40C66FF867C}">
                  <a14:compatExt spid="_x0000_s1723"/>
                </a:ext>
                <a:ext uri="{FF2B5EF4-FFF2-40B4-BE49-F238E27FC236}">
                  <a16:creationId xmlns:a16="http://schemas.microsoft.com/office/drawing/2014/main" id="{00000000-0008-0000-0000-0000B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14</xdr:row>
          <xdr:rowOff>19050</xdr:rowOff>
        </xdr:from>
        <xdr:to>
          <xdr:col>6</xdr:col>
          <xdr:colOff>447675</xdr:colOff>
          <xdr:row>14</xdr:row>
          <xdr:rowOff>266700</xdr:rowOff>
        </xdr:to>
        <xdr:sp macro="" textlink="">
          <xdr:nvSpPr>
            <xdr:cNvPr id="1724" name="Button 56" hidden="1">
              <a:extLst>
                <a:ext uri="{63B3BB69-23CF-44E3-9099-C40C66FF867C}">
                  <a14:compatExt spid="_x0000_s1724"/>
                </a:ext>
                <a:ext uri="{FF2B5EF4-FFF2-40B4-BE49-F238E27FC236}">
                  <a16:creationId xmlns:a16="http://schemas.microsoft.com/office/drawing/2014/main" id="{00000000-0008-0000-0000-0000B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15</xdr:row>
          <xdr:rowOff>19050</xdr:rowOff>
        </xdr:from>
        <xdr:to>
          <xdr:col>6</xdr:col>
          <xdr:colOff>447675</xdr:colOff>
          <xdr:row>15</xdr:row>
          <xdr:rowOff>266700</xdr:rowOff>
        </xdr:to>
        <xdr:sp macro="" textlink="">
          <xdr:nvSpPr>
            <xdr:cNvPr id="1725" name="Button 57" hidden="1">
              <a:extLst>
                <a:ext uri="{63B3BB69-23CF-44E3-9099-C40C66FF867C}">
                  <a14:compatExt spid="_x0000_s1725"/>
                </a:ext>
                <a:ext uri="{FF2B5EF4-FFF2-40B4-BE49-F238E27FC236}">
                  <a16:creationId xmlns:a16="http://schemas.microsoft.com/office/drawing/2014/main" id="{00000000-0008-0000-0000-0000B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16</xdr:row>
          <xdr:rowOff>19050</xdr:rowOff>
        </xdr:from>
        <xdr:to>
          <xdr:col>6</xdr:col>
          <xdr:colOff>447675</xdr:colOff>
          <xdr:row>16</xdr:row>
          <xdr:rowOff>266700</xdr:rowOff>
        </xdr:to>
        <xdr:sp macro="" textlink="">
          <xdr:nvSpPr>
            <xdr:cNvPr id="1726" name="Button 58" hidden="1">
              <a:extLst>
                <a:ext uri="{63B3BB69-23CF-44E3-9099-C40C66FF867C}">
                  <a14:compatExt spid="_x0000_s1726"/>
                </a:ext>
                <a:ext uri="{FF2B5EF4-FFF2-40B4-BE49-F238E27FC236}">
                  <a16:creationId xmlns:a16="http://schemas.microsoft.com/office/drawing/2014/main" id="{00000000-0008-0000-0000-0000B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17</xdr:row>
          <xdr:rowOff>19050</xdr:rowOff>
        </xdr:from>
        <xdr:to>
          <xdr:col>6</xdr:col>
          <xdr:colOff>447675</xdr:colOff>
          <xdr:row>17</xdr:row>
          <xdr:rowOff>266700</xdr:rowOff>
        </xdr:to>
        <xdr:sp macro="" textlink="">
          <xdr:nvSpPr>
            <xdr:cNvPr id="1727" name="Button 59" hidden="1">
              <a:extLst>
                <a:ext uri="{63B3BB69-23CF-44E3-9099-C40C66FF867C}">
                  <a14:compatExt spid="_x0000_s1727"/>
                </a:ext>
                <a:ext uri="{FF2B5EF4-FFF2-40B4-BE49-F238E27FC236}">
                  <a16:creationId xmlns:a16="http://schemas.microsoft.com/office/drawing/2014/main" id="{00000000-0008-0000-0000-0000B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18</xdr:row>
          <xdr:rowOff>19050</xdr:rowOff>
        </xdr:from>
        <xdr:to>
          <xdr:col>6</xdr:col>
          <xdr:colOff>447675</xdr:colOff>
          <xdr:row>18</xdr:row>
          <xdr:rowOff>266700</xdr:rowOff>
        </xdr:to>
        <xdr:sp macro="" textlink="">
          <xdr:nvSpPr>
            <xdr:cNvPr id="1728" name="Button 60" hidden="1">
              <a:extLst>
                <a:ext uri="{63B3BB69-23CF-44E3-9099-C40C66FF867C}">
                  <a14:compatExt spid="_x0000_s1728"/>
                </a:ext>
                <a:ext uri="{FF2B5EF4-FFF2-40B4-BE49-F238E27FC236}">
                  <a16:creationId xmlns:a16="http://schemas.microsoft.com/office/drawing/2014/main" id="{00000000-0008-0000-0000-0000C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19</xdr:row>
          <xdr:rowOff>19050</xdr:rowOff>
        </xdr:from>
        <xdr:to>
          <xdr:col>6</xdr:col>
          <xdr:colOff>447675</xdr:colOff>
          <xdr:row>19</xdr:row>
          <xdr:rowOff>266700</xdr:rowOff>
        </xdr:to>
        <xdr:sp macro="" textlink="">
          <xdr:nvSpPr>
            <xdr:cNvPr id="1729" name="Button 61" hidden="1">
              <a:extLst>
                <a:ext uri="{63B3BB69-23CF-44E3-9099-C40C66FF867C}">
                  <a14:compatExt spid="_x0000_s1729"/>
                </a:ext>
                <a:ext uri="{FF2B5EF4-FFF2-40B4-BE49-F238E27FC236}">
                  <a16:creationId xmlns:a16="http://schemas.microsoft.com/office/drawing/2014/main" id="{00000000-0008-0000-0000-0000C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20</xdr:row>
          <xdr:rowOff>19050</xdr:rowOff>
        </xdr:from>
        <xdr:to>
          <xdr:col>6</xdr:col>
          <xdr:colOff>447675</xdr:colOff>
          <xdr:row>20</xdr:row>
          <xdr:rowOff>266700</xdr:rowOff>
        </xdr:to>
        <xdr:sp macro="" textlink="">
          <xdr:nvSpPr>
            <xdr:cNvPr id="1730" name="Button 62" hidden="1">
              <a:extLst>
                <a:ext uri="{63B3BB69-23CF-44E3-9099-C40C66FF867C}">
                  <a14:compatExt spid="_x0000_s1730"/>
                </a:ext>
                <a:ext uri="{FF2B5EF4-FFF2-40B4-BE49-F238E27FC236}">
                  <a16:creationId xmlns:a16="http://schemas.microsoft.com/office/drawing/2014/main" id="{00000000-0008-0000-0000-0000C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21</xdr:row>
          <xdr:rowOff>19050</xdr:rowOff>
        </xdr:from>
        <xdr:to>
          <xdr:col>6</xdr:col>
          <xdr:colOff>447675</xdr:colOff>
          <xdr:row>21</xdr:row>
          <xdr:rowOff>266700</xdr:rowOff>
        </xdr:to>
        <xdr:sp macro="" textlink="">
          <xdr:nvSpPr>
            <xdr:cNvPr id="1731" name="Button 63" hidden="1">
              <a:extLst>
                <a:ext uri="{63B3BB69-23CF-44E3-9099-C40C66FF867C}">
                  <a14:compatExt spid="_x0000_s1731"/>
                </a:ext>
                <a:ext uri="{FF2B5EF4-FFF2-40B4-BE49-F238E27FC236}">
                  <a16:creationId xmlns:a16="http://schemas.microsoft.com/office/drawing/2014/main" id="{00000000-0008-0000-0000-0000C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22</xdr:row>
          <xdr:rowOff>19050</xdr:rowOff>
        </xdr:from>
        <xdr:to>
          <xdr:col>6</xdr:col>
          <xdr:colOff>447675</xdr:colOff>
          <xdr:row>22</xdr:row>
          <xdr:rowOff>266700</xdr:rowOff>
        </xdr:to>
        <xdr:sp macro="" textlink="">
          <xdr:nvSpPr>
            <xdr:cNvPr id="1732" name="Button 64" hidden="1">
              <a:extLst>
                <a:ext uri="{63B3BB69-23CF-44E3-9099-C40C66FF867C}">
                  <a14:compatExt spid="_x0000_s1732"/>
                </a:ext>
                <a:ext uri="{FF2B5EF4-FFF2-40B4-BE49-F238E27FC236}">
                  <a16:creationId xmlns:a16="http://schemas.microsoft.com/office/drawing/2014/main" id="{00000000-0008-0000-0000-0000C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23</xdr:row>
          <xdr:rowOff>19050</xdr:rowOff>
        </xdr:from>
        <xdr:to>
          <xdr:col>6</xdr:col>
          <xdr:colOff>447675</xdr:colOff>
          <xdr:row>23</xdr:row>
          <xdr:rowOff>266700</xdr:rowOff>
        </xdr:to>
        <xdr:sp macro="" textlink="">
          <xdr:nvSpPr>
            <xdr:cNvPr id="1733" name="Button 65" hidden="1">
              <a:extLst>
                <a:ext uri="{63B3BB69-23CF-44E3-9099-C40C66FF867C}">
                  <a14:compatExt spid="_x0000_s1733"/>
                </a:ext>
                <a:ext uri="{FF2B5EF4-FFF2-40B4-BE49-F238E27FC236}">
                  <a16:creationId xmlns:a16="http://schemas.microsoft.com/office/drawing/2014/main" id="{00000000-0008-0000-0000-0000C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24</xdr:row>
          <xdr:rowOff>19050</xdr:rowOff>
        </xdr:from>
        <xdr:to>
          <xdr:col>6</xdr:col>
          <xdr:colOff>447675</xdr:colOff>
          <xdr:row>24</xdr:row>
          <xdr:rowOff>266700</xdr:rowOff>
        </xdr:to>
        <xdr:sp macro="" textlink="">
          <xdr:nvSpPr>
            <xdr:cNvPr id="1734" name="Button 66" hidden="1">
              <a:extLst>
                <a:ext uri="{63B3BB69-23CF-44E3-9099-C40C66FF867C}">
                  <a14:compatExt spid="_x0000_s1734"/>
                </a:ext>
                <a:ext uri="{FF2B5EF4-FFF2-40B4-BE49-F238E27FC236}">
                  <a16:creationId xmlns:a16="http://schemas.microsoft.com/office/drawing/2014/main" id="{00000000-0008-0000-0000-0000C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25</xdr:row>
          <xdr:rowOff>19050</xdr:rowOff>
        </xdr:from>
        <xdr:to>
          <xdr:col>6</xdr:col>
          <xdr:colOff>447675</xdr:colOff>
          <xdr:row>25</xdr:row>
          <xdr:rowOff>266700</xdr:rowOff>
        </xdr:to>
        <xdr:sp macro="" textlink="">
          <xdr:nvSpPr>
            <xdr:cNvPr id="1735" name="Button 67" hidden="1">
              <a:extLst>
                <a:ext uri="{63B3BB69-23CF-44E3-9099-C40C66FF867C}">
                  <a14:compatExt spid="_x0000_s1735"/>
                </a:ext>
                <a:ext uri="{FF2B5EF4-FFF2-40B4-BE49-F238E27FC236}">
                  <a16:creationId xmlns:a16="http://schemas.microsoft.com/office/drawing/2014/main" id="{00000000-0008-0000-0000-0000C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27</xdr:row>
          <xdr:rowOff>19050</xdr:rowOff>
        </xdr:from>
        <xdr:to>
          <xdr:col>6</xdr:col>
          <xdr:colOff>447675</xdr:colOff>
          <xdr:row>27</xdr:row>
          <xdr:rowOff>266700</xdr:rowOff>
        </xdr:to>
        <xdr:sp macro="" textlink="">
          <xdr:nvSpPr>
            <xdr:cNvPr id="1736" name="Button 69" hidden="1">
              <a:extLst>
                <a:ext uri="{63B3BB69-23CF-44E3-9099-C40C66FF867C}">
                  <a14:compatExt spid="_x0000_s1736"/>
                </a:ext>
                <a:ext uri="{FF2B5EF4-FFF2-40B4-BE49-F238E27FC236}">
                  <a16:creationId xmlns:a16="http://schemas.microsoft.com/office/drawing/2014/main" id="{00000000-0008-0000-0000-0000C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27</a:t>
              </a:r>
            </a:p>
            <a:p>
              <a:pPr algn="ctr" rtl="0">
                <a:defRPr sz="1000"/>
              </a:pPr>
              <a:endParaRPr lang="it-IT" sz="1100" b="1" i="0" u="none" strike="noStrike" baseline="0">
                <a:solidFill>
                  <a:srgbClr val="000000"/>
                </a:solidFill>
                <a:latin typeface="Calibri"/>
                <a:cs typeface="Calibri"/>
              </a:endParaRP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28</xdr:row>
          <xdr:rowOff>19050</xdr:rowOff>
        </xdr:from>
        <xdr:to>
          <xdr:col>6</xdr:col>
          <xdr:colOff>447675</xdr:colOff>
          <xdr:row>28</xdr:row>
          <xdr:rowOff>266700</xdr:rowOff>
        </xdr:to>
        <xdr:sp macro="" textlink="">
          <xdr:nvSpPr>
            <xdr:cNvPr id="1737" name="Button 70" hidden="1">
              <a:extLst>
                <a:ext uri="{63B3BB69-23CF-44E3-9099-C40C66FF867C}">
                  <a14:compatExt spid="_x0000_s1737"/>
                </a:ext>
                <a:ext uri="{FF2B5EF4-FFF2-40B4-BE49-F238E27FC236}">
                  <a16:creationId xmlns:a16="http://schemas.microsoft.com/office/drawing/2014/main" id="{00000000-0008-0000-0000-0000C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28</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29</xdr:row>
          <xdr:rowOff>19050</xdr:rowOff>
        </xdr:from>
        <xdr:to>
          <xdr:col>6</xdr:col>
          <xdr:colOff>447675</xdr:colOff>
          <xdr:row>29</xdr:row>
          <xdr:rowOff>266700</xdr:rowOff>
        </xdr:to>
        <xdr:sp macro="" textlink="">
          <xdr:nvSpPr>
            <xdr:cNvPr id="1738" name="Button 71" hidden="1">
              <a:extLst>
                <a:ext uri="{63B3BB69-23CF-44E3-9099-C40C66FF867C}">
                  <a14:compatExt spid="_x0000_s1738"/>
                </a:ext>
                <a:ext uri="{FF2B5EF4-FFF2-40B4-BE49-F238E27FC236}">
                  <a16:creationId xmlns:a16="http://schemas.microsoft.com/office/drawing/2014/main" id="{00000000-0008-0000-0000-0000C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30</xdr:row>
          <xdr:rowOff>19050</xdr:rowOff>
        </xdr:from>
        <xdr:to>
          <xdr:col>6</xdr:col>
          <xdr:colOff>447675</xdr:colOff>
          <xdr:row>30</xdr:row>
          <xdr:rowOff>266700</xdr:rowOff>
        </xdr:to>
        <xdr:sp macro="" textlink="">
          <xdr:nvSpPr>
            <xdr:cNvPr id="1739" name="Button 72" hidden="1">
              <a:extLst>
                <a:ext uri="{63B3BB69-23CF-44E3-9099-C40C66FF867C}">
                  <a14:compatExt spid="_x0000_s1739"/>
                </a:ext>
                <a:ext uri="{FF2B5EF4-FFF2-40B4-BE49-F238E27FC236}">
                  <a16:creationId xmlns:a16="http://schemas.microsoft.com/office/drawing/2014/main" id="{00000000-0008-0000-0000-0000C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30</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31</xdr:row>
          <xdr:rowOff>19050</xdr:rowOff>
        </xdr:from>
        <xdr:to>
          <xdr:col>6</xdr:col>
          <xdr:colOff>447675</xdr:colOff>
          <xdr:row>31</xdr:row>
          <xdr:rowOff>266700</xdr:rowOff>
        </xdr:to>
        <xdr:sp macro="" textlink="">
          <xdr:nvSpPr>
            <xdr:cNvPr id="1740" name="Button 73" hidden="1">
              <a:extLst>
                <a:ext uri="{63B3BB69-23CF-44E3-9099-C40C66FF867C}">
                  <a14:compatExt spid="_x0000_s1740"/>
                </a:ext>
                <a:ext uri="{FF2B5EF4-FFF2-40B4-BE49-F238E27FC236}">
                  <a16:creationId xmlns:a16="http://schemas.microsoft.com/office/drawing/2014/main" id="{00000000-0008-0000-0000-0000C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32</xdr:row>
          <xdr:rowOff>19050</xdr:rowOff>
        </xdr:from>
        <xdr:to>
          <xdr:col>6</xdr:col>
          <xdr:colOff>447675</xdr:colOff>
          <xdr:row>32</xdr:row>
          <xdr:rowOff>266700</xdr:rowOff>
        </xdr:to>
        <xdr:sp macro="" textlink="">
          <xdr:nvSpPr>
            <xdr:cNvPr id="1741" name="Button 74" hidden="1">
              <a:extLst>
                <a:ext uri="{63B3BB69-23CF-44E3-9099-C40C66FF867C}">
                  <a14:compatExt spid="_x0000_s1741"/>
                </a:ext>
                <a:ext uri="{FF2B5EF4-FFF2-40B4-BE49-F238E27FC236}">
                  <a16:creationId xmlns:a16="http://schemas.microsoft.com/office/drawing/2014/main" id="{00000000-0008-0000-0000-0000C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33</xdr:row>
          <xdr:rowOff>19050</xdr:rowOff>
        </xdr:from>
        <xdr:to>
          <xdr:col>6</xdr:col>
          <xdr:colOff>447675</xdr:colOff>
          <xdr:row>33</xdr:row>
          <xdr:rowOff>266700</xdr:rowOff>
        </xdr:to>
        <xdr:sp macro="" textlink="">
          <xdr:nvSpPr>
            <xdr:cNvPr id="1742" name="Button 75" hidden="1">
              <a:extLst>
                <a:ext uri="{63B3BB69-23CF-44E3-9099-C40C66FF867C}">
                  <a14:compatExt spid="_x0000_s1742"/>
                </a:ext>
                <a:ext uri="{FF2B5EF4-FFF2-40B4-BE49-F238E27FC236}">
                  <a16:creationId xmlns:a16="http://schemas.microsoft.com/office/drawing/2014/main" id="{00000000-0008-0000-0000-0000C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34</xdr:row>
          <xdr:rowOff>19050</xdr:rowOff>
        </xdr:from>
        <xdr:to>
          <xdr:col>6</xdr:col>
          <xdr:colOff>447675</xdr:colOff>
          <xdr:row>34</xdr:row>
          <xdr:rowOff>266700</xdr:rowOff>
        </xdr:to>
        <xdr:sp macro="" textlink="">
          <xdr:nvSpPr>
            <xdr:cNvPr id="1743" name="Button 76" hidden="1">
              <a:extLst>
                <a:ext uri="{63B3BB69-23CF-44E3-9099-C40C66FF867C}">
                  <a14:compatExt spid="_x0000_s1743"/>
                </a:ext>
                <a:ext uri="{FF2B5EF4-FFF2-40B4-BE49-F238E27FC236}">
                  <a16:creationId xmlns:a16="http://schemas.microsoft.com/office/drawing/2014/main" id="{00000000-0008-0000-0000-0000C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35</xdr:row>
          <xdr:rowOff>19050</xdr:rowOff>
        </xdr:from>
        <xdr:to>
          <xdr:col>6</xdr:col>
          <xdr:colOff>447675</xdr:colOff>
          <xdr:row>35</xdr:row>
          <xdr:rowOff>266700</xdr:rowOff>
        </xdr:to>
        <xdr:sp macro="" textlink="">
          <xdr:nvSpPr>
            <xdr:cNvPr id="1744" name="Button 77" hidden="1">
              <a:extLst>
                <a:ext uri="{63B3BB69-23CF-44E3-9099-C40C66FF867C}">
                  <a14:compatExt spid="_x0000_s1744"/>
                </a:ext>
                <a:ext uri="{FF2B5EF4-FFF2-40B4-BE49-F238E27FC236}">
                  <a16:creationId xmlns:a16="http://schemas.microsoft.com/office/drawing/2014/main" id="{00000000-0008-0000-0000-0000D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36</xdr:row>
          <xdr:rowOff>19050</xdr:rowOff>
        </xdr:from>
        <xdr:to>
          <xdr:col>6</xdr:col>
          <xdr:colOff>447675</xdr:colOff>
          <xdr:row>36</xdr:row>
          <xdr:rowOff>266700</xdr:rowOff>
        </xdr:to>
        <xdr:sp macro="" textlink="">
          <xdr:nvSpPr>
            <xdr:cNvPr id="1745" name="Button 78" hidden="1">
              <a:extLst>
                <a:ext uri="{63B3BB69-23CF-44E3-9099-C40C66FF867C}">
                  <a14:compatExt spid="_x0000_s1745"/>
                </a:ext>
                <a:ext uri="{FF2B5EF4-FFF2-40B4-BE49-F238E27FC236}">
                  <a16:creationId xmlns:a16="http://schemas.microsoft.com/office/drawing/2014/main" id="{00000000-0008-0000-0000-0000D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37</xdr:row>
          <xdr:rowOff>19050</xdr:rowOff>
        </xdr:from>
        <xdr:to>
          <xdr:col>6</xdr:col>
          <xdr:colOff>447675</xdr:colOff>
          <xdr:row>37</xdr:row>
          <xdr:rowOff>266700</xdr:rowOff>
        </xdr:to>
        <xdr:sp macro="" textlink="">
          <xdr:nvSpPr>
            <xdr:cNvPr id="1746" name="Button 79" hidden="1">
              <a:extLst>
                <a:ext uri="{63B3BB69-23CF-44E3-9099-C40C66FF867C}">
                  <a14:compatExt spid="_x0000_s1746"/>
                </a:ext>
                <a:ext uri="{FF2B5EF4-FFF2-40B4-BE49-F238E27FC236}">
                  <a16:creationId xmlns:a16="http://schemas.microsoft.com/office/drawing/2014/main" id="{00000000-0008-0000-0000-0000D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38</xdr:row>
          <xdr:rowOff>19050</xdr:rowOff>
        </xdr:from>
        <xdr:to>
          <xdr:col>6</xdr:col>
          <xdr:colOff>447675</xdr:colOff>
          <xdr:row>38</xdr:row>
          <xdr:rowOff>266700</xdr:rowOff>
        </xdr:to>
        <xdr:sp macro="" textlink="">
          <xdr:nvSpPr>
            <xdr:cNvPr id="1747" name="Button 80" hidden="1">
              <a:extLst>
                <a:ext uri="{63B3BB69-23CF-44E3-9099-C40C66FF867C}">
                  <a14:compatExt spid="_x0000_s1747"/>
                </a:ext>
                <a:ext uri="{FF2B5EF4-FFF2-40B4-BE49-F238E27FC236}">
                  <a16:creationId xmlns:a16="http://schemas.microsoft.com/office/drawing/2014/main" id="{00000000-0008-0000-0000-0000D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39</xdr:row>
          <xdr:rowOff>19050</xdr:rowOff>
        </xdr:from>
        <xdr:to>
          <xdr:col>6</xdr:col>
          <xdr:colOff>447675</xdr:colOff>
          <xdr:row>39</xdr:row>
          <xdr:rowOff>266700</xdr:rowOff>
        </xdr:to>
        <xdr:sp macro="" textlink="">
          <xdr:nvSpPr>
            <xdr:cNvPr id="1748" name="Button 81" hidden="1">
              <a:extLst>
                <a:ext uri="{63B3BB69-23CF-44E3-9099-C40C66FF867C}">
                  <a14:compatExt spid="_x0000_s1748"/>
                </a:ext>
                <a:ext uri="{FF2B5EF4-FFF2-40B4-BE49-F238E27FC236}">
                  <a16:creationId xmlns:a16="http://schemas.microsoft.com/office/drawing/2014/main" id="{00000000-0008-0000-0000-0000D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39</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40</xdr:row>
          <xdr:rowOff>19050</xdr:rowOff>
        </xdr:from>
        <xdr:to>
          <xdr:col>6</xdr:col>
          <xdr:colOff>447675</xdr:colOff>
          <xdr:row>40</xdr:row>
          <xdr:rowOff>266700</xdr:rowOff>
        </xdr:to>
        <xdr:sp macro="" textlink="">
          <xdr:nvSpPr>
            <xdr:cNvPr id="1749" name="Button 82" hidden="1">
              <a:extLst>
                <a:ext uri="{63B3BB69-23CF-44E3-9099-C40C66FF867C}">
                  <a14:compatExt spid="_x0000_s1749"/>
                </a:ext>
                <a:ext uri="{FF2B5EF4-FFF2-40B4-BE49-F238E27FC236}">
                  <a16:creationId xmlns:a16="http://schemas.microsoft.com/office/drawing/2014/main" id="{00000000-0008-0000-0000-0000D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40</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41</xdr:row>
          <xdr:rowOff>19050</xdr:rowOff>
        </xdr:from>
        <xdr:to>
          <xdr:col>6</xdr:col>
          <xdr:colOff>447675</xdr:colOff>
          <xdr:row>41</xdr:row>
          <xdr:rowOff>266700</xdr:rowOff>
        </xdr:to>
        <xdr:sp macro="" textlink="">
          <xdr:nvSpPr>
            <xdr:cNvPr id="1750" name="Button 83" hidden="1">
              <a:extLst>
                <a:ext uri="{63B3BB69-23CF-44E3-9099-C40C66FF867C}">
                  <a14:compatExt spid="_x0000_s1750"/>
                </a:ext>
                <a:ext uri="{FF2B5EF4-FFF2-40B4-BE49-F238E27FC236}">
                  <a16:creationId xmlns:a16="http://schemas.microsoft.com/office/drawing/2014/main" id="{00000000-0008-0000-0000-0000D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42</xdr:row>
          <xdr:rowOff>19050</xdr:rowOff>
        </xdr:from>
        <xdr:to>
          <xdr:col>6</xdr:col>
          <xdr:colOff>447675</xdr:colOff>
          <xdr:row>42</xdr:row>
          <xdr:rowOff>266700</xdr:rowOff>
        </xdr:to>
        <xdr:sp macro="" textlink="">
          <xdr:nvSpPr>
            <xdr:cNvPr id="1751" name="Button 84" hidden="1">
              <a:extLst>
                <a:ext uri="{63B3BB69-23CF-44E3-9099-C40C66FF867C}">
                  <a14:compatExt spid="_x0000_s1751"/>
                </a:ext>
                <a:ext uri="{FF2B5EF4-FFF2-40B4-BE49-F238E27FC236}">
                  <a16:creationId xmlns:a16="http://schemas.microsoft.com/office/drawing/2014/main" id="{00000000-0008-0000-0000-0000D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43</xdr:row>
          <xdr:rowOff>19050</xdr:rowOff>
        </xdr:from>
        <xdr:to>
          <xdr:col>6</xdr:col>
          <xdr:colOff>447675</xdr:colOff>
          <xdr:row>43</xdr:row>
          <xdr:rowOff>266700</xdr:rowOff>
        </xdr:to>
        <xdr:sp macro="" textlink="">
          <xdr:nvSpPr>
            <xdr:cNvPr id="1752" name="Button 85" hidden="1">
              <a:extLst>
                <a:ext uri="{63B3BB69-23CF-44E3-9099-C40C66FF867C}">
                  <a14:compatExt spid="_x0000_s1752"/>
                </a:ext>
                <a:ext uri="{FF2B5EF4-FFF2-40B4-BE49-F238E27FC236}">
                  <a16:creationId xmlns:a16="http://schemas.microsoft.com/office/drawing/2014/main" id="{00000000-0008-0000-0000-0000D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44</xdr:row>
          <xdr:rowOff>19050</xdr:rowOff>
        </xdr:from>
        <xdr:to>
          <xdr:col>6</xdr:col>
          <xdr:colOff>447675</xdr:colOff>
          <xdr:row>44</xdr:row>
          <xdr:rowOff>266700</xdr:rowOff>
        </xdr:to>
        <xdr:sp macro="" textlink="">
          <xdr:nvSpPr>
            <xdr:cNvPr id="1753" name="Button 86" hidden="1">
              <a:extLst>
                <a:ext uri="{63B3BB69-23CF-44E3-9099-C40C66FF867C}">
                  <a14:compatExt spid="_x0000_s1753"/>
                </a:ext>
                <a:ext uri="{FF2B5EF4-FFF2-40B4-BE49-F238E27FC236}">
                  <a16:creationId xmlns:a16="http://schemas.microsoft.com/office/drawing/2014/main" id="{00000000-0008-0000-0000-0000D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45</xdr:row>
          <xdr:rowOff>19050</xdr:rowOff>
        </xdr:from>
        <xdr:to>
          <xdr:col>6</xdr:col>
          <xdr:colOff>447675</xdr:colOff>
          <xdr:row>45</xdr:row>
          <xdr:rowOff>266700</xdr:rowOff>
        </xdr:to>
        <xdr:sp macro="" textlink="">
          <xdr:nvSpPr>
            <xdr:cNvPr id="1754" name="Button 87" hidden="1">
              <a:extLst>
                <a:ext uri="{63B3BB69-23CF-44E3-9099-C40C66FF867C}">
                  <a14:compatExt spid="_x0000_s1754"/>
                </a:ext>
                <a:ext uri="{FF2B5EF4-FFF2-40B4-BE49-F238E27FC236}">
                  <a16:creationId xmlns:a16="http://schemas.microsoft.com/office/drawing/2014/main" id="{00000000-0008-0000-0000-0000D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45</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46</xdr:row>
          <xdr:rowOff>19050</xdr:rowOff>
        </xdr:from>
        <xdr:to>
          <xdr:col>6</xdr:col>
          <xdr:colOff>447675</xdr:colOff>
          <xdr:row>46</xdr:row>
          <xdr:rowOff>266700</xdr:rowOff>
        </xdr:to>
        <xdr:sp macro="" textlink="">
          <xdr:nvSpPr>
            <xdr:cNvPr id="1755" name="Button 88" hidden="1">
              <a:extLst>
                <a:ext uri="{63B3BB69-23CF-44E3-9099-C40C66FF867C}">
                  <a14:compatExt spid="_x0000_s1755"/>
                </a:ext>
                <a:ext uri="{FF2B5EF4-FFF2-40B4-BE49-F238E27FC236}">
                  <a16:creationId xmlns:a16="http://schemas.microsoft.com/office/drawing/2014/main" id="{00000000-0008-0000-0000-0000D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47</xdr:row>
          <xdr:rowOff>19050</xdr:rowOff>
        </xdr:from>
        <xdr:to>
          <xdr:col>6</xdr:col>
          <xdr:colOff>447675</xdr:colOff>
          <xdr:row>47</xdr:row>
          <xdr:rowOff>266700</xdr:rowOff>
        </xdr:to>
        <xdr:sp macro="" textlink="">
          <xdr:nvSpPr>
            <xdr:cNvPr id="1756" name="Button 89" hidden="1">
              <a:extLst>
                <a:ext uri="{63B3BB69-23CF-44E3-9099-C40C66FF867C}">
                  <a14:compatExt spid="_x0000_s1756"/>
                </a:ext>
                <a:ext uri="{FF2B5EF4-FFF2-40B4-BE49-F238E27FC236}">
                  <a16:creationId xmlns:a16="http://schemas.microsoft.com/office/drawing/2014/main" id="{00000000-0008-0000-0000-0000D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48</xdr:row>
          <xdr:rowOff>19050</xdr:rowOff>
        </xdr:from>
        <xdr:to>
          <xdr:col>6</xdr:col>
          <xdr:colOff>447675</xdr:colOff>
          <xdr:row>48</xdr:row>
          <xdr:rowOff>266700</xdr:rowOff>
        </xdr:to>
        <xdr:sp macro="" textlink="">
          <xdr:nvSpPr>
            <xdr:cNvPr id="1757" name="Button 90" hidden="1">
              <a:extLst>
                <a:ext uri="{63B3BB69-23CF-44E3-9099-C40C66FF867C}">
                  <a14:compatExt spid="_x0000_s1757"/>
                </a:ext>
                <a:ext uri="{FF2B5EF4-FFF2-40B4-BE49-F238E27FC236}">
                  <a16:creationId xmlns:a16="http://schemas.microsoft.com/office/drawing/2014/main" id="{00000000-0008-0000-0000-0000D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48</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49</xdr:row>
          <xdr:rowOff>19050</xdr:rowOff>
        </xdr:from>
        <xdr:to>
          <xdr:col>6</xdr:col>
          <xdr:colOff>447675</xdr:colOff>
          <xdr:row>49</xdr:row>
          <xdr:rowOff>266700</xdr:rowOff>
        </xdr:to>
        <xdr:sp macro="" textlink="">
          <xdr:nvSpPr>
            <xdr:cNvPr id="1758" name="Button 91" hidden="1">
              <a:extLst>
                <a:ext uri="{63B3BB69-23CF-44E3-9099-C40C66FF867C}">
                  <a14:compatExt spid="_x0000_s1758"/>
                </a:ext>
                <a:ext uri="{FF2B5EF4-FFF2-40B4-BE49-F238E27FC236}">
                  <a16:creationId xmlns:a16="http://schemas.microsoft.com/office/drawing/2014/main" id="{00000000-0008-0000-0000-0000D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49</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53</xdr:row>
          <xdr:rowOff>19050</xdr:rowOff>
        </xdr:from>
        <xdr:to>
          <xdr:col>6</xdr:col>
          <xdr:colOff>447675</xdr:colOff>
          <xdr:row>53</xdr:row>
          <xdr:rowOff>266700</xdr:rowOff>
        </xdr:to>
        <xdr:sp macro="" textlink="">
          <xdr:nvSpPr>
            <xdr:cNvPr id="1759" name="Button 95" hidden="1">
              <a:extLst>
                <a:ext uri="{63B3BB69-23CF-44E3-9099-C40C66FF867C}">
                  <a14:compatExt spid="_x0000_s1759"/>
                </a:ext>
                <a:ext uri="{FF2B5EF4-FFF2-40B4-BE49-F238E27FC236}">
                  <a16:creationId xmlns:a16="http://schemas.microsoft.com/office/drawing/2014/main" id="{00000000-0008-0000-0000-0000D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53</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54</xdr:row>
          <xdr:rowOff>19050</xdr:rowOff>
        </xdr:from>
        <xdr:to>
          <xdr:col>6</xdr:col>
          <xdr:colOff>447675</xdr:colOff>
          <xdr:row>54</xdr:row>
          <xdr:rowOff>266700</xdr:rowOff>
        </xdr:to>
        <xdr:sp macro="" textlink="">
          <xdr:nvSpPr>
            <xdr:cNvPr id="1760" name="Button 96" hidden="1">
              <a:extLst>
                <a:ext uri="{63B3BB69-23CF-44E3-9099-C40C66FF867C}">
                  <a14:compatExt spid="_x0000_s1760"/>
                </a:ext>
                <a:ext uri="{FF2B5EF4-FFF2-40B4-BE49-F238E27FC236}">
                  <a16:creationId xmlns:a16="http://schemas.microsoft.com/office/drawing/2014/main" id="{00000000-0008-0000-0000-0000E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54</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55</xdr:row>
          <xdr:rowOff>19050</xdr:rowOff>
        </xdr:from>
        <xdr:to>
          <xdr:col>6</xdr:col>
          <xdr:colOff>447675</xdr:colOff>
          <xdr:row>55</xdr:row>
          <xdr:rowOff>266700</xdr:rowOff>
        </xdr:to>
        <xdr:sp macro="" textlink="">
          <xdr:nvSpPr>
            <xdr:cNvPr id="1761" name="Button 97" hidden="1">
              <a:extLst>
                <a:ext uri="{63B3BB69-23CF-44E3-9099-C40C66FF867C}">
                  <a14:compatExt spid="_x0000_s1761"/>
                </a:ext>
                <a:ext uri="{FF2B5EF4-FFF2-40B4-BE49-F238E27FC236}">
                  <a16:creationId xmlns:a16="http://schemas.microsoft.com/office/drawing/2014/main" id="{00000000-0008-0000-0000-0000E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56</xdr:row>
          <xdr:rowOff>19050</xdr:rowOff>
        </xdr:from>
        <xdr:to>
          <xdr:col>6</xdr:col>
          <xdr:colOff>447675</xdr:colOff>
          <xdr:row>56</xdr:row>
          <xdr:rowOff>266700</xdr:rowOff>
        </xdr:to>
        <xdr:sp macro="" textlink="">
          <xdr:nvSpPr>
            <xdr:cNvPr id="1762" name="Button 98" hidden="1">
              <a:extLst>
                <a:ext uri="{63B3BB69-23CF-44E3-9099-C40C66FF867C}">
                  <a14:compatExt spid="_x0000_s1762"/>
                </a:ext>
                <a:ext uri="{FF2B5EF4-FFF2-40B4-BE49-F238E27FC236}">
                  <a16:creationId xmlns:a16="http://schemas.microsoft.com/office/drawing/2014/main" id="{00000000-0008-0000-0000-0000E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57</xdr:row>
          <xdr:rowOff>19050</xdr:rowOff>
        </xdr:from>
        <xdr:to>
          <xdr:col>6</xdr:col>
          <xdr:colOff>447675</xdr:colOff>
          <xdr:row>57</xdr:row>
          <xdr:rowOff>266700</xdr:rowOff>
        </xdr:to>
        <xdr:sp macro="" textlink="">
          <xdr:nvSpPr>
            <xdr:cNvPr id="1763" name="Button 99" hidden="1">
              <a:extLst>
                <a:ext uri="{63B3BB69-23CF-44E3-9099-C40C66FF867C}">
                  <a14:compatExt spid="_x0000_s1763"/>
                </a:ext>
                <a:ext uri="{FF2B5EF4-FFF2-40B4-BE49-F238E27FC236}">
                  <a16:creationId xmlns:a16="http://schemas.microsoft.com/office/drawing/2014/main" id="{00000000-0008-0000-0000-0000E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58</xdr:row>
          <xdr:rowOff>19050</xdr:rowOff>
        </xdr:from>
        <xdr:to>
          <xdr:col>6</xdr:col>
          <xdr:colOff>447675</xdr:colOff>
          <xdr:row>58</xdr:row>
          <xdr:rowOff>266700</xdr:rowOff>
        </xdr:to>
        <xdr:sp macro="" textlink="">
          <xdr:nvSpPr>
            <xdr:cNvPr id="1764" name="Button 100" hidden="1">
              <a:extLst>
                <a:ext uri="{63B3BB69-23CF-44E3-9099-C40C66FF867C}">
                  <a14:compatExt spid="_x0000_s1764"/>
                </a:ext>
                <a:ext uri="{FF2B5EF4-FFF2-40B4-BE49-F238E27FC236}">
                  <a16:creationId xmlns:a16="http://schemas.microsoft.com/office/drawing/2014/main" id="{00000000-0008-0000-0000-0000E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59</xdr:row>
          <xdr:rowOff>19050</xdr:rowOff>
        </xdr:from>
        <xdr:to>
          <xdr:col>6</xdr:col>
          <xdr:colOff>447675</xdr:colOff>
          <xdr:row>59</xdr:row>
          <xdr:rowOff>266700</xdr:rowOff>
        </xdr:to>
        <xdr:sp macro="" textlink="">
          <xdr:nvSpPr>
            <xdr:cNvPr id="1765" name="Button 101" hidden="1">
              <a:extLst>
                <a:ext uri="{63B3BB69-23CF-44E3-9099-C40C66FF867C}">
                  <a14:compatExt spid="_x0000_s1765"/>
                </a:ext>
                <a:ext uri="{FF2B5EF4-FFF2-40B4-BE49-F238E27FC236}">
                  <a16:creationId xmlns:a16="http://schemas.microsoft.com/office/drawing/2014/main" id="{00000000-0008-0000-0000-0000E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60</xdr:row>
          <xdr:rowOff>19050</xdr:rowOff>
        </xdr:from>
        <xdr:to>
          <xdr:col>6</xdr:col>
          <xdr:colOff>447675</xdr:colOff>
          <xdr:row>60</xdr:row>
          <xdr:rowOff>266700</xdr:rowOff>
        </xdr:to>
        <xdr:sp macro="" textlink="">
          <xdr:nvSpPr>
            <xdr:cNvPr id="1766" name="Button 102" hidden="1">
              <a:extLst>
                <a:ext uri="{63B3BB69-23CF-44E3-9099-C40C66FF867C}">
                  <a14:compatExt spid="_x0000_s1766"/>
                </a:ext>
                <a:ext uri="{FF2B5EF4-FFF2-40B4-BE49-F238E27FC236}">
                  <a16:creationId xmlns:a16="http://schemas.microsoft.com/office/drawing/2014/main" id="{00000000-0008-0000-0000-0000E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61</xdr:row>
          <xdr:rowOff>19050</xdr:rowOff>
        </xdr:from>
        <xdr:to>
          <xdr:col>6</xdr:col>
          <xdr:colOff>447675</xdr:colOff>
          <xdr:row>61</xdr:row>
          <xdr:rowOff>266700</xdr:rowOff>
        </xdr:to>
        <xdr:sp macro="" textlink="">
          <xdr:nvSpPr>
            <xdr:cNvPr id="1767" name="Button 103" hidden="1">
              <a:extLst>
                <a:ext uri="{63B3BB69-23CF-44E3-9099-C40C66FF867C}">
                  <a14:compatExt spid="_x0000_s1767"/>
                </a:ext>
                <a:ext uri="{FF2B5EF4-FFF2-40B4-BE49-F238E27FC236}">
                  <a16:creationId xmlns:a16="http://schemas.microsoft.com/office/drawing/2014/main" id="{00000000-0008-0000-0000-0000E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62</xdr:row>
          <xdr:rowOff>19050</xdr:rowOff>
        </xdr:from>
        <xdr:to>
          <xdr:col>6</xdr:col>
          <xdr:colOff>447675</xdr:colOff>
          <xdr:row>62</xdr:row>
          <xdr:rowOff>266700</xdr:rowOff>
        </xdr:to>
        <xdr:sp macro="" textlink="">
          <xdr:nvSpPr>
            <xdr:cNvPr id="1768" name="Button 104" hidden="1">
              <a:extLst>
                <a:ext uri="{63B3BB69-23CF-44E3-9099-C40C66FF867C}">
                  <a14:compatExt spid="_x0000_s1768"/>
                </a:ext>
                <a:ext uri="{FF2B5EF4-FFF2-40B4-BE49-F238E27FC236}">
                  <a16:creationId xmlns:a16="http://schemas.microsoft.com/office/drawing/2014/main" id="{00000000-0008-0000-0000-0000E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62</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63</xdr:row>
          <xdr:rowOff>19050</xdr:rowOff>
        </xdr:from>
        <xdr:to>
          <xdr:col>6</xdr:col>
          <xdr:colOff>447675</xdr:colOff>
          <xdr:row>63</xdr:row>
          <xdr:rowOff>266700</xdr:rowOff>
        </xdr:to>
        <xdr:sp macro="" textlink="">
          <xdr:nvSpPr>
            <xdr:cNvPr id="1769" name="Button 105" hidden="1">
              <a:extLst>
                <a:ext uri="{63B3BB69-23CF-44E3-9099-C40C66FF867C}">
                  <a14:compatExt spid="_x0000_s1769"/>
                </a:ext>
                <a:ext uri="{FF2B5EF4-FFF2-40B4-BE49-F238E27FC236}">
                  <a16:creationId xmlns:a16="http://schemas.microsoft.com/office/drawing/2014/main" id="{00000000-0008-0000-0000-0000E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64</xdr:row>
          <xdr:rowOff>19050</xdr:rowOff>
        </xdr:from>
        <xdr:to>
          <xdr:col>6</xdr:col>
          <xdr:colOff>447675</xdr:colOff>
          <xdr:row>64</xdr:row>
          <xdr:rowOff>266700</xdr:rowOff>
        </xdr:to>
        <xdr:sp macro="" textlink="">
          <xdr:nvSpPr>
            <xdr:cNvPr id="1770" name="Button 106" hidden="1">
              <a:extLst>
                <a:ext uri="{63B3BB69-23CF-44E3-9099-C40C66FF867C}">
                  <a14:compatExt spid="_x0000_s1770"/>
                </a:ext>
                <a:ext uri="{FF2B5EF4-FFF2-40B4-BE49-F238E27FC236}">
                  <a16:creationId xmlns:a16="http://schemas.microsoft.com/office/drawing/2014/main" id="{00000000-0008-0000-0000-0000E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65</xdr:row>
          <xdr:rowOff>19050</xdr:rowOff>
        </xdr:from>
        <xdr:to>
          <xdr:col>6</xdr:col>
          <xdr:colOff>447675</xdr:colOff>
          <xdr:row>65</xdr:row>
          <xdr:rowOff>266700</xdr:rowOff>
        </xdr:to>
        <xdr:sp macro="" textlink="">
          <xdr:nvSpPr>
            <xdr:cNvPr id="1771" name="Button 107" hidden="1">
              <a:extLst>
                <a:ext uri="{63B3BB69-23CF-44E3-9099-C40C66FF867C}">
                  <a14:compatExt spid="_x0000_s1771"/>
                </a:ext>
                <a:ext uri="{FF2B5EF4-FFF2-40B4-BE49-F238E27FC236}">
                  <a16:creationId xmlns:a16="http://schemas.microsoft.com/office/drawing/2014/main" id="{00000000-0008-0000-0000-0000E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66</xdr:row>
          <xdr:rowOff>19050</xdr:rowOff>
        </xdr:from>
        <xdr:to>
          <xdr:col>6</xdr:col>
          <xdr:colOff>447675</xdr:colOff>
          <xdr:row>66</xdr:row>
          <xdr:rowOff>266700</xdr:rowOff>
        </xdr:to>
        <xdr:sp macro="" textlink="">
          <xdr:nvSpPr>
            <xdr:cNvPr id="1772" name="Button 108" hidden="1">
              <a:extLst>
                <a:ext uri="{63B3BB69-23CF-44E3-9099-C40C66FF867C}">
                  <a14:compatExt spid="_x0000_s1772"/>
                </a:ext>
                <a:ext uri="{FF2B5EF4-FFF2-40B4-BE49-F238E27FC236}">
                  <a16:creationId xmlns:a16="http://schemas.microsoft.com/office/drawing/2014/main" id="{00000000-0008-0000-0000-0000E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67</xdr:row>
          <xdr:rowOff>19050</xdr:rowOff>
        </xdr:from>
        <xdr:to>
          <xdr:col>6</xdr:col>
          <xdr:colOff>447675</xdr:colOff>
          <xdr:row>67</xdr:row>
          <xdr:rowOff>266700</xdr:rowOff>
        </xdr:to>
        <xdr:sp macro="" textlink="">
          <xdr:nvSpPr>
            <xdr:cNvPr id="1773" name="Button 109" hidden="1">
              <a:extLst>
                <a:ext uri="{63B3BB69-23CF-44E3-9099-C40C66FF867C}">
                  <a14:compatExt spid="_x0000_s1773"/>
                </a:ext>
                <a:ext uri="{FF2B5EF4-FFF2-40B4-BE49-F238E27FC236}">
                  <a16:creationId xmlns:a16="http://schemas.microsoft.com/office/drawing/2014/main" id="{00000000-0008-0000-0000-0000E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68</xdr:row>
          <xdr:rowOff>19050</xdr:rowOff>
        </xdr:from>
        <xdr:to>
          <xdr:col>6</xdr:col>
          <xdr:colOff>447675</xdr:colOff>
          <xdr:row>68</xdr:row>
          <xdr:rowOff>266700</xdr:rowOff>
        </xdr:to>
        <xdr:sp macro="" textlink="">
          <xdr:nvSpPr>
            <xdr:cNvPr id="1774" name="Button 110" hidden="1">
              <a:extLst>
                <a:ext uri="{63B3BB69-23CF-44E3-9099-C40C66FF867C}">
                  <a14:compatExt spid="_x0000_s1774"/>
                </a:ext>
                <a:ext uri="{FF2B5EF4-FFF2-40B4-BE49-F238E27FC236}">
                  <a16:creationId xmlns:a16="http://schemas.microsoft.com/office/drawing/2014/main" id="{00000000-0008-0000-0000-0000E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69</xdr:row>
          <xdr:rowOff>19050</xdr:rowOff>
        </xdr:from>
        <xdr:to>
          <xdr:col>6</xdr:col>
          <xdr:colOff>447675</xdr:colOff>
          <xdr:row>69</xdr:row>
          <xdr:rowOff>266700</xdr:rowOff>
        </xdr:to>
        <xdr:sp macro="" textlink="">
          <xdr:nvSpPr>
            <xdr:cNvPr id="1775" name="Button 111" hidden="1">
              <a:extLst>
                <a:ext uri="{63B3BB69-23CF-44E3-9099-C40C66FF867C}">
                  <a14:compatExt spid="_x0000_s1775"/>
                </a:ext>
                <a:ext uri="{FF2B5EF4-FFF2-40B4-BE49-F238E27FC236}">
                  <a16:creationId xmlns:a16="http://schemas.microsoft.com/office/drawing/2014/main" id="{00000000-0008-0000-0000-0000E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69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70</xdr:row>
          <xdr:rowOff>19050</xdr:rowOff>
        </xdr:from>
        <xdr:to>
          <xdr:col>6</xdr:col>
          <xdr:colOff>447675</xdr:colOff>
          <xdr:row>70</xdr:row>
          <xdr:rowOff>266700</xdr:rowOff>
        </xdr:to>
        <xdr:sp macro="" textlink="">
          <xdr:nvSpPr>
            <xdr:cNvPr id="1776" name="Button 112" hidden="1">
              <a:extLst>
                <a:ext uri="{63B3BB69-23CF-44E3-9099-C40C66FF867C}">
                  <a14:compatExt spid="_x0000_s1776"/>
                </a:ext>
                <a:ext uri="{FF2B5EF4-FFF2-40B4-BE49-F238E27FC236}">
                  <a16:creationId xmlns:a16="http://schemas.microsoft.com/office/drawing/2014/main" id="{00000000-0008-0000-0000-0000F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71</xdr:row>
          <xdr:rowOff>19050</xdr:rowOff>
        </xdr:from>
        <xdr:to>
          <xdr:col>6</xdr:col>
          <xdr:colOff>447675</xdr:colOff>
          <xdr:row>71</xdr:row>
          <xdr:rowOff>266700</xdr:rowOff>
        </xdr:to>
        <xdr:sp macro="" textlink="">
          <xdr:nvSpPr>
            <xdr:cNvPr id="1777" name="Button 113" hidden="1">
              <a:extLst>
                <a:ext uri="{63B3BB69-23CF-44E3-9099-C40C66FF867C}">
                  <a14:compatExt spid="_x0000_s1777"/>
                </a:ext>
                <a:ext uri="{FF2B5EF4-FFF2-40B4-BE49-F238E27FC236}">
                  <a16:creationId xmlns:a16="http://schemas.microsoft.com/office/drawing/2014/main" id="{00000000-0008-0000-0000-0000F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72</xdr:row>
          <xdr:rowOff>19050</xdr:rowOff>
        </xdr:from>
        <xdr:to>
          <xdr:col>6</xdr:col>
          <xdr:colOff>447675</xdr:colOff>
          <xdr:row>72</xdr:row>
          <xdr:rowOff>266700</xdr:rowOff>
        </xdr:to>
        <xdr:sp macro="" textlink="">
          <xdr:nvSpPr>
            <xdr:cNvPr id="1778" name="Button 114" hidden="1">
              <a:extLst>
                <a:ext uri="{63B3BB69-23CF-44E3-9099-C40C66FF867C}">
                  <a14:compatExt spid="_x0000_s1778"/>
                </a:ext>
                <a:ext uri="{FF2B5EF4-FFF2-40B4-BE49-F238E27FC236}">
                  <a16:creationId xmlns:a16="http://schemas.microsoft.com/office/drawing/2014/main" id="{00000000-0008-0000-0000-0000F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73</xdr:row>
          <xdr:rowOff>19050</xdr:rowOff>
        </xdr:from>
        <xdr:to>
          <xdr:col>6</xdr:col>
          <xdr:colOff>447675</xdr:colOff>
          <xdr:row>73</xdr:row>
          <xdr:rowOff>266700</xdr:rowOff>
        </xdr:to>
        <xdr:sp macro="" textlink="">
          <xdr:nvSpPr>
            <xdr:cNvPr id="1779" name="Button 115" hidden="1">
              <a:extLst>
                <a:ext uri="{63B3BB69-23CF-44E3-9099-C40C66FF867C}">
                  <a14:compatExt spid="_x0000_s1779"/>
                </a:ext>
                <a:ext uri="{FF2B5EF4-FFF2-40B4-BE49-F238E27FC236}">
                  <a16:creationId xmlns:a16="http://schemas.microsoft.com/office/drawing/2014/main" id="{00000000-0008-0000-0000-0000F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75</xdr:row>
          <xdr:rowOff>19050</xdr:rowOff>
        </xdr:from>
        <xdr:to>
          <xdr:col>6</xdr:col>
          <xdr:colOff>447675</xdr:colOff>
          <xdr:row>75</xdr:row>
          <xdr:rowOff>266700</xdr:rowOff>
        </xdr:to>
        <xdr:sp macro="" textlink="">
          <xdr:nvSpPr>
            <xdr:cNvPr id="1780" name="Button 117" hidden="1">
              <a:extLst>
                <a:ext uri="{63B3BB69-23CF-44E3-9099-C40C66FF867C}">
                  <a14:compatExt spid="_x0000_s1780"/>
                </a:ext>
                <a:ext uri="{FF2B5EF4-FFF2-40B4-BE49-F238E27FC236}">
                  <a16:creationId xmlns:a16="http://schemas.microsoft.com/office/drawing/2014/main" id="{00000000-0008-0000-0000-0000F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76</xdr:row>
          <xdr:rowOff>19050</xdr:rowOff>
        </xdr:from>
        <xdr:to>
          <xdr:col>6</xdr:col>
          <xdr:colOff>447675</xdr:colOff>
          <xdr:row>76</xdr:row>
          <xdr:rowOff>266700</xdr:rowOff>
        </xdr:to>
        <xdr:sp macro="" textlink="">
          <xdr:nvSpPr>
            <xdr:cNvPr id="1781" name="Button 118" hidden="1">
              <a:extLst>
                <a:ext uri="{63B3BB69-23CF-44E3-9099-C40C66FF867C}">
                  <a14:compatExt spid="_x0000_s1781"/>
                </a:ext>
                <a:ext uri="{FF2B5EF4-FFF2-40B4-BE49-F238E27FC236}">
                  <a16:creationId xmlns:a16="http://schemas.microsoft.com/office/drawing/2014/main" id="{00000000-0008-0000-0000-0000F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77</xdr:row>
          <xdr:rowOff>19050</xdr:rowOff>
        </xdr:from>
        <xdr:to>
          <xdr:col>6</xdr:col>
          <xdr:colOff>447675</xdr:colOff>
          <xdr:row>77</xdr:row>
          <xdr:rowOff>266700</xdr:rowOff>
        </xdr:to>
        <xdr:sp macro="" textlink="">
          <xdr:nvSpPr>
            <xdr:cNvPr id="1782" name="Button 119" hidden="1">
              <a:extLst>
                <a:ext uri="{63B3BB69-23CF-44E3-9099-C40C66FF867C}">
                  <a14:compatExt spid="_x0000_s1782"/>
                </a:ext>
                <a:ext uri="{FF2B5EF4-FFF2-40B4-BE49-F238E27FC236}">
                  <a16:creationId xmlns:a16="http://schemas.microsoft.com/office/drawing/2014/main" id="{00000000-0008-0000-0000-0000F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78</xdr:row>
          <xdr:rowOff>19050</xdr:rowOff>
        </xdr:from>
        <xdr:to>
          <xdr:col>6</xdr:col>
          <xdr:colOff>447675</xdr:colOff>
          <xdr:row>78</xdr:row>
          <xdr:rowOff>266700</xdr:rowOff>
        </xdr:to>
        <xdr:sp macro="" textlink="">
          <xdr:nvSpPr>
            <xdr:cNvPr id="1783" name="Button 120" hidden="1">
              <a:extLst>
                <a:ext uri="{63B3BB69-23CF-44E3-9099-C40C66FF867C}">
                  <a14:compatExt spid="_x0000_s1783"/>
                </a:ext>
                <a:ext uri="{FF2B5EF4-FFF2-40B4-BE49-F238E27FC236}">
                  <a16:creationId xmlns:a16="http://schemas.microsoft.com/office/drawing/2014/main" id="{00000000-0008-0000-0000-0000F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79</xdr:row>
          <xdr:rowOff>19050</xdr:rowOff>
        </xdr:from>
        <xdr:to>
          <xdr:col>6</xdr:col>
          <xdr:colOff>447675</xdr:colOff>
          <xdr:row>79</xdr:row>
          <xdr:rowOff>266700</xdr:rowOff>
        </xdr:to>
        <xdr:sp macro="" textlink="">
          <xdr:nvSpPr>
            <xdr:cNvPr id="1784" name="Button 121" hidden="1">
              <a:extLst>
                <a:ext uri="{63B3BB69-23CF-44E3-9099-C40C66FF867C}">
                  <a14:compatExt spid="_x0000_s1784"/>
                </a:ext>
                <a:ext uri="{FF2B5EF4-FFF2-40B4-BE49-F238E27FC236}">
                  <a16:creationId xmlns:a16="http://schemas.microsoft.com/office/drawing/2014/main" id="{00000000-0008-0000-0000-0000F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80</xdr:row>
          <xdr:rowOff>19050</xdr:rowOff>
        </xdr:from>
        <xdr:to>
          <xdr:col>6</xdr:col>
          <xdr:colOff>447675</xdr:colOff>
          <xdr:row>80</xdr:row>
          <xdr:rowOff>266700</xdr:rowOff>
        </xdr:to>
        <xdr:sp macro="" textlink="">
          <xdr:nvSpPr>
            <xdr:cNvPr id="1785" name="Button 122" hidden="1">
              <a:extLst>
                <a:ext uri="{63B3BB69-23CF-44E3-9099-C40C66FF867C}">
                  <a14:compatExt spid="_x0000_s1785"/>
                </a:ext>
                <a:ext uri="{FF2B5EF4-FFF2-40B4-BE49-F238E27FC236}">
                  <a16:creationId xmlns:a16="http://schemas.microsoft.com/office/drawing/2014/main" id="{00000000-0008-0000-0000-0000F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81</xdr:row>
          <xdr:rowOff>19050</xdr:rowOff>
        </xdr:from>
        <xdr:to>
          <xdr:col>6</xdr:col>
          <xdr:colOff>447675</xdr:colOff>
          <xdr:row>81</xdr:row>
          <xdr:rowOff>266700</xdr:rowOff>
        </xdr:to>
        <xdr:sp macro="" textlink="">
          <xdr:nvSpPr>
            <xdr:cNvPr id="1786" name="Button 123" hidden="1">
              <a:extLst>
                <a:ext uri="{63B3BB69-23CF-44E3-9099-C40C66FF867C}">
                  <a14:compatExt spid="_x0000_s1786"/>
                </a:ext>
                <a:ext uri="{FF2B5EF4-FFF2-40B4-BE49-F238E27FC236}">
                  <a16:creationId xmlns:a16="http://schemas.microsoft.com/office/drawing/2014/main" id="{00000000-0008-0000-0000-0000F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82</xdr:row>
          <xdr:rowOff>19050</xdr:rowOff>
        </xdr:from>
        <xdr:to>
          <xdr:col>6</xdr:col>
          <xdr:colOff>447675</xdr:colOff>
          <xdr:row>82</xdr:row>
          <xdr:rowOff>266700</xdr:rowOff>
        </xdr:to>
        <xdr:sp macro="" textlink="">
          <xdr:nvSpPr>
            <xdr:cNvPr id="1787" name="Button 124" hidden="1">
              <a:extLst>
                <a:ext uri="{63B3BB69-23CF-44E3-9099-C40C66FF867C}">
                  <a14:compatExt spid="_x0000_s1787"/>
                </a:ext>
                <a:ext uri="{FF2B5EF4-FFF2-40B4-BE49-F238E27FC236}">
                  <a16:creationId xmlns:a16="http://schemas.microsoft.com/office/drawing/2014/main" id="{00000000-0008-0000-0000-0000F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83</xdr:row>
          <xdr:rowOff>19050</xdr:rowOff>
        </xdr:from>
        <xdr:to>
          <xdr:col>6</xdr:col>
          <xdr:colOff>447675</xdr:colOff>
          <xdr:row>83</xdr:row>
          <xdr:rowOff>266700</xdr:rowOff>
        </xdr:to>
        <xdr:sp macro="" textlink="">
          <xdr:nvSpPr>
            <xdr:cNvPr id="1788" name="Button 125" hidden="1">
              <a:extLst>
                <a:ext uri="{63B3BB69-23CF-44E3-9099-C40C66FF867C}">
                  <a14:compatExt spid="_x0000_s1788"/>
                </a:ext>
                <a:ext uri="{FF2B5EF4-FFF2-40B4-BE49-F238E27FC236}">
                  <a16:creationId xmlns:a16="http://schemas.microsoft.com/office/drawing/2014/main" id="{00000000-0008-0000-0000-0000F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84</xdr:row>
          <xdr:rowOff>19050</xdr:rowOff>
        </xdr:from>
        <xdr:to>
          <xdr:col>6</xdr:col>
          <xdr:colOff>447675</xdr:colOff>
          <xdr:row>84</xdr:row>
          <xdr:rowOff>266700</xdr:rowOff>
        </xdr:to>
        <xdr:sp macro="" textlink="">
          <xdr:nvSpPr>
            <xdr:cNvPr id="1789" name="Button 126" hidden="1">
              <a:extLst>
                <a:ext uri="{63B3BB69-23CF-44E3-9099-C40C66FF867C}">
                  <a14:compatExt spid="_x0000_s1789"/>
                </a:ext>
                <a:ext uri="{FF2B5EF4-FFF2-40B4-BE49-F238E27FC236}">
                  <a16:creationId xmlns:a16="http://schemas.microsoft.com/office/drawing/2014/main" id="{00000000-0008-0000-0000-0000F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85</xdr:row>
          <xdr:rowOff>19050</xdr:rowOff>
        </xdr:from>
        <xdr:to>
          <xdr:col>6</xdr:col>
          <xdr:colOff>447675</xdr:colOff>
          <xdr:row>85</xdr:row>
          <xdr:rowOff>266700</xdr:rowOff>
        </xdr:to>
        <xdr:sp macro="" textlink="">
          <xdr:nvSpPr>
            <xdr:cNvPr id="1790" name="Button 127" hidden="1">
              <a:extLst>
                <a:ext uri="{63B3BB69-23CF-44E3-9099-C40C66FF867C}">
                  <a14:compatExt spid="_x0000_s1790"/>
                </a:ext>
                <a:ext uri="{FF2B5EF4-FFF2-40B4-BE49-F238E27FC236}">
                  <a16:creationId xmlns:a16="http://schemas.microsoft.com/office/drawing/2014/main" id="{00000000-0008-0000-0000-0000F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86</xdr:row>
          <xdr:rowOff>19050</xdr:rowOff>
        </xdr:from>
        <xdr:to>
          <xdr:col>6</xdr:col>
          <xdr:colOff>447675</xdr:colOff>
          <xdr:row>86</xdr:row>
          <xdr:rowOff>266700</xdr:rowOff>
        </xdr:to>
        <xdr:sp macro="" textlink="">
          <xdr:nvSpPr>
            <xdr:cNvPr id="1791" name="Button 128" hidden="1">
              <a:extLst>
                <a:ext uri="{63B3BB69-23CF-44E3-9099-C40C66FF867C}">
                  <a14:compatExt spid="_x0000_s1791"/>
                </a:ext>
                <a:ext uri="{FF2B5EF4-FFF2-40B4-BE49-F238E27FC236}">
                  <a16:creationId xmlns:a16="http://schemas.microsoft.com/office/drawing/2014/main" id="{00000000-0008-0000-0000-0000F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87</xdr:row>
          <xdr:rowOff>19050</xdr:rowOff>
        </xdr:from>
        <xdr:to>
          <xdr:col>6</xdr:col>
          <xdr:colOff>447675</xdr:colOff>
          <xdr:row>87</xdr:row>
          <xdr:rowOff>266700</xdr:rowOff>
        </xdr:to>
        <xdr:sp macro="" textlink="">
          <xdr:nvSpPr>
            <xdr:cNvPr id="1792" name="Button 129" hidden="1">
              <a:extLst>
                <a:ext uri="{63B3BB69-23CF-44E3-9099-C40C66FF867C}">
                  <a14:compatExt spid="_x0000_s1792"/>
                </a:ext>
                <a:ext uri="{FF2B5EF4-FFF2-40B4-BE49-F238E27FC236}">
                  <a16:creationId xmlns:a16="http://schemas.microsoft.com/office/drawing/2014/main" id="{00000000-0008-0000-0000-000000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88</xdr:row>
          <xdr:rowOff>19050</xdr:rowOff>
        </xdr:from>
        <xdr:to>
          <xdr:col>6</xdr:col>
          <xdr:colOff>447675</xdr:colOff>
          <xdr:row>88</xdr:row>
          <xdr:rowOff>266700</xdr:rowOff>
        </xdr:to>
        <xdr:sp macro="" textlink="">
          <xdr:nvSpPr>
            <xdr:cNvPr id="1793" name="Button 130" hidden="1">
              <a:extLst>
                <a:ext uri="{63B3BB69-23CF-44E3-9099-C40C66FF867C}">
                  <a14:compatExt spid="_x0000_s1793"/>
                </a:ext>
                <a:ext uri="{FF2B5EF4-FFF2-40B4-BE49-F238E27FC236}">
                  <a16:creationId xmlns:a16="http://schemas.microsoft.com/office/drawing/2014/main" id="{00000000-0008-0000-0000-000001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89</xdr:row>
          <xdr:rowOff>19050</xdr:rowOff>
        </xdr:from>
        <xdr:to>
          <xdr:col>6</xdr:col>
          <xdr:colOff>447675</xdr:colOff>
          <xdr:row>89</xdr:row>
          <xdr:rowOff>266700</xdr:rowOff>
        </xdr:to>
        <xdr:sp macro="" textlink="">
          <xdr:nvSpPr>
            <xdr:cNvPr id="1794" name="Button 131" hidden="1">
              <a:extLst>
                <a:ext uri="{63B3BB69-23CF-44E3-9099-C40C66FF867C}">
                  <a14:compatExt spid="_x0000_s1794"/>
                </a:ext>
                <a:ext uri="{FF2B5EF4-FFF2-40B4-BE49-F238E27FC236}">
                  <a16:creationId xmlns:a16="http://schemas.microsoft.com/office/drawing/2014/main" id="{00000000-0008-0000-0000-000002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89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90</xdr:row>
          <xdr:rowOff>19050</xdr:rowOff>
        </xdr:from>
        <xdr:to>
          <xdr:col>6</xdr:col>
          <xdr:colOff>447675</xdr:colOff>
          <xdr:row>90</xdr:row>
          <xdr:rowOff>266700</xdr:rowOff>
        </xdr:to>
        <xdr:sp macro="" textlink="">
          <xdr:nvSpPr>
            <xdr:cNvPr id="1795" name="Button 132" hidden="1">
              <a:extLst>
                <a:ext uri="{63B3BB69-23CF-44E3-9099-C40C66FF867C}">
                  <a14:compatExt spid="_x0000_s1795"/>
                </a:ext>
                <a:ext uri="{FF2B5EF4-FFF2-40B4-BE49-F238E27FC236}">
                  <a16:creationId xmlns:a16="http://schemas.microsoft.com/office/drawing/2014/main" id="{00000000-0008-0000-0000-000003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91</xdr:row>
          <xdr:rowOff>19050</xdr:rowOff>
        </xdr:from>
        <xdr:to>
          <xdr:col>6</xdr:col>
          <xdr:colOff>447675</xdr:colOff>
          <xdr:row>91</xdr:row>
          <xdr:rowOff>266700</xdr:rowOff>
        </xdr:to>
        <xdr:sp macro="" textlink="">
          <xdr:nvSpPr>
            <xdr:cNvPr id="1796" name="Button 133" hidden="1">
              <a:extLst>
                <a:ext uri="{63B3BB69-23CF-44E3-9099-C40C66FF867C}">
                  <a14:compatExt spid="_x0000_s1796"/>
                </a:ext>
                <a:ext uri="{FF2B5EF4-FFF2-40B4-BE49-F238E27FC236}">
                  <a16:creationId xmlns:a16="http://schemas.microsoft.com/office/drawing/2014/main" id="{00000000-0008-0000-0000-000004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92</xdr:row>
          <xdr:rowOff>19050</xdr:rowOff>
        </xdr:from>
        <xdr:to>
          <xdr:col>6</xdr:col>
          <xdr:colOff>447675</xdr:colOff>
          <xdr:row>92</xdr:row>
          <xdr:rowOff>266700</xdr:rowOff>
        </xdr:to>
        <xdr:sp macro="" textlink="">
          <xdr:nvSpPr>
            <xdr:cNvPr id="1797" name="Button 134" hidden="1">
              <a:extLst>
                <a:ext uri="{63B3BB69-23CF-44E3-9099-C40C66FF867C}">
                  <a14:compatExt spid="_x0000_s1797"/>
                </a:ext>
                <a:ext uri="{FF2B5EF4-FFF2-40B4-BE49-F238E27FC236}">
                  <a16:creationId xmlns:a16="http://schemas.microsoft.com/office/drawing/2014/main" id="{00000000-0008-0000-0000-000005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93</xdr:row>
          <xdr:rowOff>19050</xdr:rowOff>
        </xdr:from>
        <xdr:to>
          <xdr:col>6</xdr:col>
          <xdr:colOff>447675</xdr:colOff>
          <xdr:row>93</xdr:row>
          <xdr:rowOff>266700</xdr:rowOff>
        </xdr:to>
        <xdr:sp macro="" textlink="">
          <xdr:nvSpPr>
            <xdr:cNvPr id="1798" name="Button 135" hidden="1">
              <a:extLst>
                <a:ext uri="{63B3BB69-23CF-44E3-9099-C40C66FF867C}">
                  <a14:compatExt spid="_x0000_s1798"/>
                </a:ext>
                <a:ext uri="{FF2B5EF4-FFF2-40B4-BE49-F238E27FC236}">
                  <a16:creationId xmlns:a16="http://schemas.microsoft.com/office/drawing/2014/main" id="{00000000-0008-0000-0000-000006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94</xdr:row>
          <xdr:rowOff>19050</xdr:rowOff>
        </xdr:from>
        <xdr:to>
          <xdr:col>6</xdr:col>
          <xdr:colOff>447675</xdr:colOff>
          <xdr:row>94</xdr:row>
          <xdr:rowOff>266700</xdr:rowOff>
        </xdr:to>
        <xdr:sp macro="" textlink="">
          <xdr:nvSpPr>
            <xdr:cNvPr id="1799" name="Button 136" hidden="1">
              <a:extLst>
                <a:ext uri="{63B3BB69-23CF-44E3-9099-C40C66FF867C}">
                  <a14:compatExt spid="_x0000_s1799"/>
                </a:ext>
                <a:ext uri="{FF2B5EF4-FFF2-40B4-BE49-F238E27FC236}">
                  <a16:creationId xmlns:a16="http://schemas.microsoft.com/office/drawing/2014/main" id="{00000000-0008-0000-0000-000007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95</xdr:row>
          <xdr:rowOff>19050</xdr:rowOff>
        </xdr:from>
        <xdr:to>
          <xdr:col>6</xdr:col>
          <xdr:colOff>447675</xdr:colOff>
          <xdr:row>95</xdr:row>
          <xdr:rowOff>266700</xdr:rowOff>
        </xdr:to>
        <xdr:sp macro="" textlink="">
          <xdr:nvSpPr>
            <xdr:cNvPr id="1800" name="Button 137" hidden="1">
              <a:extLst>
                <a:ext uri="{63B3BB69-23CF-44E3-9099-C40C66FF867C}">
                  <a14:compatExt spid="_x0000_s1800"/>
                </a:ext>
                <a:ext uri="{FF2B5EF4-FFF2-40B4-BE49-F238E27FC236}">
                  <a16:creationId xmlns:a16="http://schemas.microsoft.com/office/drawing/2014/main" id="{00000000-0008-0000-0000-000008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96</xdr:row>
          <xdr:rowOff>19050</xdr:rowOff>
        </xdr:from>
        <xdr:to>
          <xdr:col>6</xdr:col>
          <xdr:colOff>447675</xdr:colOff>
          <xdr:row>96</xdr:row>
          <xdr:rowOff>266700</xdr:rowOff>
        </xdr:to>
        <xdr:sp macro="" textlink="">
          <xdr:nvSpPr>
            <xdr:cNvPr id="1801" name="Button 138" hidden="1">
              <a:extLst>
                <a:ext uri="{63B3BB69-23CF-44E3-9099-C40C66FF867C}">
                  <a14:compatExt spid="_x0000_s1801"/>
                </a:ext>
                <a:ext uri="{FF2B5EF4-FFF2-40B4-BE49-F238E27FC236}">
                  <a16:creationId xmlns:a16="http://schemas.microsoft.com/office/drawing/2014/main" id="{00000000-0008-0000-0000-000009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97</xdr:row>
          <xdr:rowOff>19050</xdr:rowOff>
        </xdr:from>
        <xdr:to>
          <xdr:col>6</xdr:col>
          <xdr:colOff>447675</xdr:colOff>
          <xdr:row>97</xdr:row>
          <xdr:rowOff>266700</xdr:rowOff>
        </xdr:to>
        <xdr:sp macro="" textlink="">
          <xdr:nvSpPr>
            <xdr:cNvPr id="1802" name="Button 139" hidden="1">
              <a:extLst>
                <a:ext uri="{63B3BB69-23CF-44E3-9099-C40C66FF867C}">
                  <a14:compatExt spid="_x0000_s1802"/>
                </a:ext>
                <a:ext uri="{FF2B5EF4-FFF2-40B4-BE49-F238E27FC236}">
                  <a16:creationId xmlns:a16="http://schemas.microsoft.com/office/drawing/2014/main" id="{00000000-0008-0000-0000-00000A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98</xdr:row>
          <xdr:rowOff>19050</xdr:rowOff>
        </xdr:from>
        <xdr:to>
          <xdr:col>6</xdr:col>
          <xdr:colOff>447675</xdr:colOff>
          <xdr:row>98</xdr:row>
          <xdr:rowOff>266700</xdr:rowOff>
        </xdr:to>
        <xdr:sp macro="" textlink="">
          <xdr:nvSpPr>
            <xdr:cNvPr id="1803" name="Button 140" hidden="1">
              <a:extLst>
                <a:ext uri="{63B3BB69-23CF-44E3-9099-C40C66FF867C}">
                  <a14:compatExt spid="_x0000_s1803"/>
                </a:ext>
                <a:ext uri="{FF2B5EF4-FFF2-40B4-BE49-F238E27FC236}">
                  <a16:creationId xmlns:a16="http://schemas.microsoft.com/office/drawing/2014/main" id="{00000000-0008-0000-0000-00000B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99</xdr:row>
          <xdr:rowOff>19050</xdr:rowOff>
        </xdr:from>
        <xdr:to>
          <xdr:col>6</xdr:col>
          <xdr:colOff>447675</xdr:colOff>
          <xdr:row>99</xdr:row>
          <xdr:rowOff>266700</xdr:rowOff>
        </xdr:to>
        <xdr:sp macro="" textlink="">
          <xdr:nvSpPr>
            <xdr:cNvPr id="1804" name="Button 141" hidden="1">
              <a:extLst>
                <a:ext uri="{63B3BB69-23CF-44E3-9099-C40C66FF867C}">
                  <a14:compatExt spid="_x0000_s1804"/>
                </a:ext>
                <a:ext uri="{FF2B5EF4-FFF2-40B4-BE49-F238E27FC236}">
                  <a16:creationId xmlns:a16="http://schemas.microsoft.com/office/drawing/2014/main" id="{00000000-0008-0000-0000-00000C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100</xdr:row>
          <xdr:rowOff>19050</xdr:rowOff>
        </xdr:from>
        <xdr:to>
          <xdr:col>6</xdr:col>
          <xdr:colOff>447675</xdr:colOff>
          <xdr:row>100</xdr:row>
          <xdr:rowOff>266700</xdr:rowOff>
        </xdr:to>
        <xdr:sp macro="" textlink="">
          <xdr:nvSpPr>
            <xdr:cNvPr id="1805" name="Button 142" hidden="1">
              <a:extLst>
                <a:ext uri="{63B3BB69-23CF-44E3-9099-C40C66FF867C}">
                  <a14:compatExt spid="_x0000_s1805"/>
                </a:ext>
                <a:ext uri="{FF2B5EF4-FFF2-40B4-BE49-F238E27FC236}">
                  <a16:creationId xmlns:a16="http://schemas.microsoft.com/office/drawing/2014/main" id="{00000000-0008-0000-0000-00000D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101</xdr:row>
          <xdr:rowOff>19050</xdr:rowOff>
        </xdr:from>
        <xdr:to>
          <xdr:col>6</xdr:col>
          <xdr:colOff>447675</xdr:colOff>
          <xdr:row>101</xdr:row>
          <xdr:rowOff>266700</xdr:rowOff>
        </xdr:to>
        <xdr:sp macro="" textlink="">
          <xdr:nvSpPr>
            <xdr:cNvPr id="1806" name="Button 143" hidden="1">
              <a:extLst>
                <a:ext uri="{63B3BB69-23CF-44E3-9099-C40C66FF867C}">
                  <a14:compatExt spid="_x0000_s1806"/>
                </a:ext>
                <a:ext uri="{FF2B5EF4-FFF2-40B4-BE49-F238E27FC236}">
                  <a16:creationId xmlns:a16="http://schemas.microsoft.com/office/drawing/2014/main" id="{00000000-0008-0000-0000-00000E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102</xdr:row>
          <xdr:rowOff>19050</xdr:rowOff>
        </xdr:from>
        <xdr:to>
          <xdr:col>6</xdr:col>
          <xdr:colOff>447675</xdr:colOff>
          <xdr:row>102</xdr:row>
          <xdr:rowOff>266700</xdr:rowOff>
        </xdr:to>
        <xdr:sp macro="" textlink="">
          <xdr:nvSpPr>
            <xdr:cNvPr id="1807" name="Button 144" hidden="1">
              <a:extLst>
                <a:ext uri="{63B3BB69-23CF-44E3-9099-C40C66FF867C}">
                  <a14:compatExt spid="_x0000_s1807"/>
                </a:ext>
                <a:ext uri="{FF2B5EF4-FFF2-40B4-BE49-F238E27FC236}">
                  <a16:creationId xmlns:a16="http://schemas.microsoft.com/office/drawing/2014/main" id="{00000000-0008-0000-0000-00000F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103</xdr:row>
          <xdr:rowOff>19050</xdr:rowOff>
        </xdr:from>
        <xdr:to>
          <xdr:col>6</xdr:col>
          <xdr:colOff>447675</xdr:colOff>
          <xdr:row>103</xdr:row>
          <xdr:rowOff>266700</xdr:rowOff>
        </xdr:to>
        <xdr:sp macro="" textlink="">
          <xdr:nvSpPr>
            <xdr:cNvPr id="1808" name="Button 145" hidden="1">
              <a:extLst>
                <a:ext uri="{63B3BB69-23CF-44E3-9099-C40C66FF867C}">
                  <a14:compatExt spid="_x0000_s1808"/>
                </a:ext>
                <a:ext uri="{FF2B5EF4-FFF2-40B4-BE49-F238E27FC236}">
                  <a16:creationId xmlns:a16="http://schemas.microsoft.com/office/drawing/2014/main" id="{00000000-0008-0000-0000-000010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104</xdr:row>
          <xdr:rowOff>19050</xdr:rowOff>
        </xdr:from>
        <xdr:to>
          <xdr:col>6</xdr:col>
          <xdr:colOff>447675</xdr:colOff>
          <xdr:row>104</xdr:row>
          <xdr:rowOff>266700</xdr:rowOff>
        </xdr:to>
        <xdr:sp macro="" textlink="">
          <xdr:nvSpPr>
            <xdr:cNvPr id="1809" name="Button 146" hidden="1">
              <a:extLst>
                <a:ext uri="{63B3BB69-23CF-44E3-9099-C40C66FF867C}">
                  <a14:compatExt spid="_x0000_s1809"/>
                </a:ext>
                <a:ext uri="{FF2B5EF4-FFF2-40B4-BE49-F238E27FC236}">
                  <a16:creationId xmlns:a16="http://schemas.microsoft.com/office/drawing/2014/main" id="{00000000-0008-0000-0000-000011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105</xdr:row>
          <xdr:rowOff>19050</xdr:rowOff>
        </xdr:from>
        <xdr:to>
          <xdr:col>6</xdr:col>
          <xdr:colOff>447675</xdr:colOff>
          <xdr:row>105</xdr:row>
          <xdr:rowOff>266700</xdr:rowOff>
        </xdr:to>
        <xdr:sp macro="" textlink="">
          <xdr:nvSpPr>
            <xdr:cNvPr id="1810" name="Button 147" hidden="1">
              <a:extLst>
                <a:ext uri="{63B3BB69-23CF-44E3-9099-C40C66FF867C}">
                  <a14:compatExt spid="_x0000_s1810"/>
                </a:ext>
                <a:ext uri="{FF2B5EF4-FFF2-40B4-BE49-F238E27FC236}">
                  <a16:creationId xmlns:a16="http://schemas.microsoft.com/office/drawing/2014/main" id="{00000000-0008-0000-0000-000012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106</xdr:row>
          <xdr:rowOff>19050</xdr:rowOff>
        </xdr:from>
        <xdr:to>
          <xdr:col>6</xdr:col>
          <xdr:colOff>447675</xdr:colOff>
          <xdr:row>106</xdr:row>
          <xdr:rowOff>266700</xdr:rowOff>
        </xdr:to>
        <xdr:sp macro="" textlink="">
          <xdr:nvSpPr>
            <xdr:cNvPr id="1811" name="Button 148" hidden="1">
              <a:extLst>
                <a:ext uri="{63B3BB69-23CF-44E3-9099-C40C66FF867C}">
                  <a14:compatExt spid="_x0000_s1811"/>
                </a:ext>
                <a:ext uri="{FF2B5EF4-FFF2-40B4-BE49-F238E27FC236}">
                  <a16:creationId xmlns:a16="http://schemas.microsoft.com/office/drawing/2014/main" id="{00000000-0008-0000-0000-000013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107</xdr:row>
          <xdr:rowOff>19050</xdr:rowOff>
        </xdr:from>
        <xdr:to>
          <xdr:col>6</xdr:col>
          <xdr:colOff>447675</xdr:colOff>
          <xdr:row>107</xdr:row>
          <xdr:rowOff>266700</xdr:rowOff>
        </xdr:to>
        <xdr:sp macro="" textlink="">
          <xdr:nvSpPr>
            <xdr:cNvPr id="1812" name="Button 149" hidden="1">
              <a:extLst>
                <a:ext uri="{63B3BB69-23CF-44E3-9099-C40C66FF867C}">
                  <a14:compatExt spid="_x0000_s1812"/>
                </a:ext>
                <a:ext uri="{FF2B5EF4-FFF2-40B4-BE49-F238E27FC236}">
                  <a16:creationId xmlns:a16="http://schemas.microsoft.com/office/drawing/2014/main" id="{00000000-0008-0000-0000-000014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108</xdr:row>
          <xdr:rowOff>19050</xdr:rowOff>
        </xdr:from>
        <xdr:to>
          <xdr:col>6</xdr:col>
          <xdr:colOff>447675</xdr:colOff>
          <xdr:row>108</xdr:row>
          <xdr:rowOff>266700</xdr:rowOff>
        </xdr:to>
        <xdr:sp macro="" textlink="">
          <xdr:nvSpPr>
            <xdr:cNvPr id="1813" name="Button 150" hidden="1">
              <a:extLst>
                <a:ext uri="{63B3BB69-23CF-44E3-9099-C40C66FF867C}">
                  <a14:compatExt spid="_x0000_s1813"/>
                </a:ext>
                <a:ext uri="{FF2B5EF4-FFF2-40B4-BE49-F238E27FC236}">
                  <a16:creationId xmlns:a16="http://schemas.microsoft.com/office/drawing/2014/main" id="{00000000-0008-0000-0000-000015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109</xdr:row>
          <xdr:rowOff>19050</xdr:rowOff>
        </xdr:from>
        <xdr:to>
          <xdr:col>6</xdr:col>
          <xdr:colOff>447675</xdr:colOff>
          <xdr:row>109</xdr:row>
          <xdr:rowOff>266700</xdr:rowOff>
        </xdr:to>
        <xdr:sp macro="" textlink="">
          <xdr:nvSpPr>
            <xdr:cNvPr id="1814" name="Button 151" hidden="1">
              <a:extLst>
                <a:ext uri="{63B3BB69-23CF-44E3-9099-C40C66FF867C}">
                  <a14:compatExt spid="_x0000_s1814"/>
                </a:ext>
                <a:ext uri="{FF2B5EF4-FFF2-40B4-BE49-F238E27FC236}">
                  <a16:creationId xmlns:a16="http://schemas.microsoft.com/office/drawing/2014/main" id="{00000000-0008-0000-0000-000016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109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110</xdr:row>
          <xdr:rowOff>19050</xdr:rowOff>
        </xdr:from>
        <xdr:to>
          <xdr:col>6</xdr:col>
          <xdr:colOff>447675</xdr:colOff>
          <xdr:row>110</xdr:row>
          <xdr:rowOff>266700</xdr:rowOff>
        </xdr:to>
        <xdr:sp macro="" textlink="">
          <xdr:nvSpPr>
            <xdr:cNvPr id="1815" name="Button 152" hidden="1">
              <a:extLst>
                <a:ext uri="{63B3BB69-23CF-44E3-9099-C40C66FF867C}">
                  <a14:compatExt spid="_x0000_s1815"/>
                </a:ext>
                <a:ext uri="{FF2B5EF4-FFF2-40B4-BE49-F238E27FC236}">
                  <a16:creationId xmlns:a16="http://schemas.microsoft.com/office/drawing/2014/main" id="{00000000-0008-0000-0000-000017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111</xdr:row>
          <xdr:rowOff>19050</xdr:rowOff>
        </xdr:from>
        <xdr:to>
          <xdr:col>6</xdr:col>
          <xdr:colOff>447675</xdr:colOff>
          <xdr:row>111</xdr:row>
          <xdr:rowOff>266700</xdr:rowOff>
        </xdr:to>
        <xdr:sp macro="" textlink="">
          <xdr:nvSpPr>
            <xdr:cNvPr id="1816" name="Button 153" hidden="1">
              <a:extLst>
                <a:ext uri="{63B3BB69-23CF-44E3-9099-C40C66FF867C}">
                  <a14:compatExt spid="_x0000_s1816"/>
                </a:ext>
                <a:ext uri="{FF2B5EF4-FFF2-40B4-BE49-F238E27FC236}">
                  <a16:creationId xmlns:a16="http://schemas.microsoft.com/office/drawing/2014/main" id="{00000000-0008-0000-0000-000018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112</xdr:row>
          <xdr:rowOff>19050</xdr:rowOff>
        </xdr:from>
        <xdr:to>
          <xdr:col>6</xdr:col>
          <xdr:colOff>447675</xdr:colOff>
          <xdr:row>112</xdr:row>
          <xdr:rowOff>266700</xdr:rowOff>
        </xdr:to>
        <xdr:sp macro="" textlink="">
          <xdr:nvSpPr>
            <xdr:cNvPr id="1817" name="Button 154" hidden="1">
              <a:extLst>
                <a:ext uri="{63B3BB69-23CF-44E3-9099-C40C66FF867C}">
                  <a14:compatExt spid="_x0000_s1817"/>
                </a:ext>
                <a:ext uri="{FF2B5EF4-FFF2-40B4-BE49-F238E27FC236}">
                  <a16:creationId xmlns:a16="http://schemas.microsoft.com/office/drawing/2014/main" id="{00000000-0008-0000-0000-000019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113</xdr:row>
          <xdr:rowOff>19050</xdr:rowOff>
        </xdr:from>
        <xdr:to>
          <xdr:col>6</xdr:col>
          <xdr:colOff>447675</xdr:colOff>
          <xdr:row>113</xdr:row>
          <xdr:rowOff>266700</xdr:rowOff>
        </xdr:to>
        <xdr:sp macro="" textlink="">
          <xdr:nvSpPr>
            <xdr:cNvPr id="1818" name="Button 155" hidden="1">
              <a:extLst>
                <a:ext uri="{63B3BB69-23CF-44E3-9099-C40C66FF867C}">
                  <a14:compatExt spid="_x0000_s1818"/>
                </a:ext>
                <a:ext uri="{FF2B5EF4-FFF2-40B4-BE49-F238E27FC236}">
                  <a16:creationId xmlns:a16="http://schemas.microsoft.com/office/drawing/2014/main" id="{00000000-0008-0000-0000-00001A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114</xdr:row>
          <xdr:rowOff>19050</xdr:rowOff>
        </xdr:from>
        <xdr:to>
          <xdr:col>6</xdr:col>
          <xdr:colOff>447675</xdr:colOff>
          <xdr:row>114</xdr:row>
          <xdr:rowOff>266700</xdr:rowOff>
        </xdr:to>
        <xdr:sp macro="" textlink="">
          <xdr:nvSpPr>
            <xdr:cNvPr id="1819" name="Button 156" hidden="1">
              <a:extLst>
                <a:ext uri="{63B3BB69-23CF-44E3-9099-C40C66FF867C}">
                  <a14:compatExt spid="_x0000_s1819"/>
                </a:ext>
                <a:ext uri="{FF2B5EF4-FFF2-40B4-BE49-F238E27FC236}">
                  <a16:creationId xmlns:a16="http://schemas.microsoft.com/office/drawing/2014/main" id="{00000000-0008-0000-0000-00001B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115</xdr:row>
          <xdr:rowOff>19050</xdr:rowOff>
        </xdr:from>
        <xdr:to>
          <xdr:col>6</xdr:col>
          <xdr:colOff>447675</xdr:colOff>
          <xdr:row>115</xdr:row>
          <xdr:rowOff>266700</xdr:rowOff>
        </xdr:to>
        <xdr:sp macro="" textlink="">
          <xdr:nvSpPr>
            <xdr:cNvPr id="1820" name="Button 157" hidden="1">
              <a:extLst>
                <a:ext uri="{63B3BB69-23CF-44E3-9099-C40C66FF867C}">
                  <a14:compatExt spid="_x0000_s1820"/>
                </a:ext>
                <a:ext uri="{FF2B5EF4-FFF2-40B4-BE49-F238E27FC236}">
                  <a16:creationId xmlns:a16="http://schemas.microsoft.com/office/drawing/2014/main" id="{00000000-0008-0000-0000-00001C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116</xdr:row>
          <xdr:rowOff>19050</xdr:rowOff>
        </xdr:from>
        <xdr:to>
          <xdr:col>6</xdr:col>
          <xdr:colOff>447675</xdr:colOff>
          <xdr:row>116</xdr:row>
          <xdr:rowOff>266700</xdr:rowOff>
        </xdr:to>
        <xdr:sp macro="" textlink="">
          <xdr:nvSpPr>
            <xdr:cNvPr id="1821" name="Button 158" hidden="1">
              <a:extLst>
                <a:ext uri="{63B3BB69-23CF-44E3-9099-C40C66FF867C}">
                  <a14:compatExt spid="_x0000_s1821"/>
                </a:ext>
                <a:ext uri="{FF2B5EF4-FFF2-40B4-BE49-F238E27FC236}">
                  <a16:creationId xmlns:a16="http://schemas.microsoft.com/office/drawing/2014/main" id="{00000000-0008-0000-0000-00001D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117</xdr:row>
          <xdr:rowOff>19050</xdr:rowOff>
        </xdr:from>
        <xdr:to>
          <xdr:col>6</xdr:col>
          <xdr:colOff>447675</xdr:colOff>
          <xdr:row>117</xdr:row>
          <xdr:rowOff>266700</xdr:rowOff>
        </xdr:to>
        <xdr:sp macro="" textlink="">
          <xdr:nvSpPr>
            <xdr:cNvPr id="1822" name="Button 159" hidden="1">
              <a:extLst>
                <a:ext uri="{63B3BB69-23CF-44E3-9099-C40C66FF867C}">
                  <a14:compatExt spid="_x0000_s1822"/>
                </a:ext>
                <a:ext uri="{FF2B5EF4-FFF2-40B4-BE49-F238E27FC236}">
                  <a16:creationId xmlns:a16="http://schemas.microsoft.com/office/drawing/2014/main" id="{00000000-0008-0000-0000-00001E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118</xdr:row>
          <xdr:rowOff>19050</xdr:rowOff>
        </xdr:from>
        <xdr:to>
          <xdr:col>6</xdr:col>
          <xdr:colOff>447675</xdr:colOff>
          <xdr:row>118</xdr:row>
          <xdr:rowOff>266700</xdr:rowOff>
        </xdr:to>
        <xdr:sp macro="" textlink="">
          <xdr:nvSpPr>
            <xdr:cNvPr id="1823" name="Button 160" hidden="1">
              <a:extLst>
                <a:ext uri="{63B3BB69-23CF-44E3-9099-C40C66FF867C}">
                  <a14:compatExt spid="_x0000_s1823"/>
                </a:ext>
                <a:ext uri="{FF2B5EF4-FFF2-40B4-BE49-F238E27FC236}">
                  <a16:creationId xmlns:a16="http://schemas.microsoft.com/office/drawing/2014/main" id="{00000000-0008-0000-0000-00001F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119</xdr:row>
          <xdr:rowOff>19050</xdr:rowOff>
        </xdr:from>
        <xdr:to>
          <xdr:col>6</xdr:col>
          <xdr:colOff>447675</xdr:colOff>
          <xdr:row>119</xdr:row>
          <xdr:rowOff>266700</xdr:rowOff>
        </xdr:to>
        <xdr:sp macro="" textlink="">
          <xdr:nvSpPr>
            <xdr:cNvPr id="1824" name="Button 161" hidden="1">
              <a:extLst>
                <a:ext uri="{63B3BB69-23CF-44E3-9099-C40C66FF867C}">
                  <a14:compatExt spid="_x0000_s1824"/>
                </a:ext>
                <a:ext uri="{FF2B5EF4-FFF2-40B4-BE49-F238E27FC236}">
                  <a16:creationId xmlns:a16="http://schemas.microsoft.com/office/drawing/2014/main" id="{00000000-0008-0000-0000-000020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120</xdr:row>
          <xdr:rowOff>19050</xdr:rowOff>
        </xdr:from>
        <xdr:to>
          <xdr:col>6</xdr:col>
          <xdr:colOff>447675</xdr:colOff>
          <xdr:row>120</xdr:row>
          <xdr:rowOff>266700</xdr:rowOff>
        </xdr:to>
        <xdr:sp macro="" textlink="">
          <xdr:nvSpPr>
            <xdr:cNvPr id="1825" name="Button 162" hidden="1">
              <a:extLst>
                <a:ext uri="{63B3BB69-23CF-44E3-9099-C40C66FF867C}">
                  <a14:compatExt spid="_x0000_s1825"/>
                </a:ext>
                <a:ext uri="{FF2B5EF4-FFF2-40B4-BE49-F238E27FC236}">
                  <a16:creationId xmlns:a16="http://schemas.microsoft.com/office/drawing/2014/main" id="{00000000-0008-0000-0000-000021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121</xdr:row>
          <xdr:rowOff>19050</xdr:rowOff>
        </xdr:from>
        <xdr:to>
          <xdr:col>6</xdr:col>
          <xdr:colOff>447675</xdr:colOff>
          <xdr:row>121</xdr:row>
          <xdr:rowOff>266700</xdr:rowOff>
        </xdr:to>
        <xdr:sp macro="" textlink="">
          <xdr:nvSpPr>
            <xdr:cNvPr id="1826" name="Button 163" hidden="1">
              <a:extLst>
                <a:ext uri="{63B3BB69-23CF-44E3-9099-C40C66FF867C}">
                  <a14:compatExt spid="_x0000_s1826"/>
                </a:ext>
                <a:ext uri="{FF2B5EF4-FFF2-40B4-BE49-F238E27FC236}">
                  <a16:creationId xmlns:a16="http://schemas.microsoft.com/office/drawing/2014/main" id="{00000000-0008-0000-0000-000022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122</xdr:row>
          <xdr:rowOff>19050</xdr:rowOff>
        </xdr:from>
        <xdr:to>
          <xdr:col>6</xdr:col>
          <xdr:colOff>447675</xdr:colOff>
          <xdr:row>122</xdr:row>
          <xdr:rowOff>266700</xdr:rowOff>
        </xdr:to>
        <xdr:sp macro="" textlink="">
          <xdr:nvSpPr>
            <xdr:cNvPr id="1827" name="Button 164" hidden="1">
              <a:extLst>
                <a:ext uri="{63B3BB69-23CF-44E3-9099-C40C66FF867C}">
                  <a14:compatExt spid="_x0000_s1827"/>
                </a:ext>
                <a:ext uri="{FF2B5EF4-FFF2-40B4-BE49-F238E27FC236}">
                  <a16:creationId xmlns:a16="http://schemas.microsoft.com/office/drawing/2014/main" id="{00000000-0008-0000-0000-000023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123</xdr:row>
          <xdr:rowOff>19050</xdr:rowOff>
        </xdr:from>
        <xdr:to>
          <xdr:col>6</xdr:col>
          <xdr:colOff>447675</xdr:colOff>
          <xdr:row>123</xdr:row>
          <xdr:rowOff>266700</xdr:rowOff>
        </xdr:to>
        <xdr:sp macro="" textlink="">
          <xdr:nvSpPr>
            <xdr:cNvPr id="1828" name="Button 165" hidden="1">
              <a:extLst>
                <a:ext uri="{63B3BB69-23CF-44E3-9099-C40C66FF867C}">
                  <a14:compatExt spid="_x0000_s1828"/>
                </a:ext>
                <a:ext uri="{FF2B5EF4-FFF2-40B4-BE49-F238E27FC236}">
                  <a16:creationId xmlns:a16="http://schemas.microsoft.com/office/drawing/2014/main" id="{00000000-0008-0000-0000-000024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124</xdr:row>
          <xdr:rowOff>19050</xdr:rowOff>
        </xdr:from>
        <xdr:to>
          <xdr:col>6</xdr:col>
          <xdr:colOff>447675</xdr:colOff>
          <xdr:row>124</xdr:row>
          <xdr:rowOff>266700</xdr:rowOff>
        </xdr:to>
        <xdr:sp macro="" textlink="">
          <xdr:nvSpPr>
            <xdr:cNvPr id="1829" name="Button 166" hidden="1">
              <a:extLst>
                <a:ext uri="{63B3BB69-23CF-44E3-9099-C40C66FF867C}">
                  <a14:compatExt spid="_x0000_s1829"/>
                </a:ext>
                <a:ext uri="{FF2B5EF4-FFF2-40B4-BE49-F238E27FC236}">
                  <a16:creationId xmlns:a16="http://schemas.microsoft.com/office/drawing/2014/main" id="{00000000-0008-0000-0000-000025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125</xdr:row>
          <xdr:rowOff>19050</xdr:rowOff>
        </xdr:from>
        <xdr:to>
          <xdr:col>6</xdr:col>
          <xdr:colOff>447675</xdr:colOff>
          <xdr:row>125</xdr:row>
          <xdr:rowOff>266700</xdr:rowOff>
        </xdr:to>
        <xdr:sp macro="" textlink="">
          <xdr:nvSpPr>
            <xdr:cNvPr id="1830" name="Button 167" hidden="1">
              <a:extLst>
                <a:ext uri="{63B3BB69-23CF-44E3-9099-C40C66FF867C}">
                  <a14:compatExt spid="_x0000_s1830"/>
                </a:ext>
                <a:ext uri="{FF2B5EF4-FFF2-40B4-BE49-F238E27FC236}">
                  <a16:creationId xmlns:a16="http://schemas.microsoft.com/office/drawing/2014/main" id="{00000000-0008-0000-0000-000026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126</xdr:row>
          <xdr:rowOff>19050</xdr:rowOff>
        </xdr:from>
        <xdr:to>
          <xdr:col>6</xdr:col>
          <xdr:colOff>447675</xdr:colOff>
          <xdr:row>126</xdr:row>
          <xdr:rowOff>266700</xdr:rowOff>
        </xdr:to>
        <xdr:sp macro="" textlink="">
          <xdr:nvSpPr>
            <xdr:cNvPr id="1831" name="Button 168" hidden="1">
              <a:extLst>
                <a:ext uri="{63B3BB69-23CF-44E3-9099-C40C66FF867C}">
                  <a14:compatExt spid="_x0000_s1831"/>
                </a:ext>
                <a:ext uri="{FF2B5EF4-FFF2-40B4-BE49-F238E27FC236}">
                  <a16:creationId xmlns:a16="http://schemas.microsoft.com/office/drawing/2014/main" id="{00000000-0008-0000-0000-000027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127</xdr:row>
          <xdr:rowOff>19050</xdr:rowOff>
        </xdr:from>
        <xdr:to>
          <xdr:col>6</xdr:col>
          <xdr:colOff>447675</xdr:colOff>
          <xdr:row>127</xdr:row>
          <xdr:rowOff>266700</xdr:rowOff>
        </xdr:to>
        <xdr:sp macro="" textlink="">
          <xdr:nvSpPr>
            <xdr:cNvPr id="1832" name="Button 169" hidden="1">
              <a:extLst>
                <a:ext uri="{63B3BB69-23CF-44E3-9099-C40C66FF867C}">
                  <a14:compatExt spid="_x0000_s1832"/>
                </a:ext>
                <a:ext uri="{FF2B5EF4-FFF2-40B4-BE49-F238E27FC236}">
                  <a16:creationId xmlns:a16="http://schemas.microsoft.com/office/drawing/2014/main" id="{00000000-0008-0000-0000-000028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128</xdr:row>
          <xdr:rowOff>19050</xdr:rowOff>
        </xdr:from>
        <xdr:to>
          <xdr:col>6</xdr:col>
          <xdr:colOff>447675</xdr:colOff>
          <xdr:row>128</xdr:row>
          <xdr:rowOff>266700</xdr:rowOff>
        </xdr:to>
        <xdr:sp macro="" textlink="">
          <xdr:nvSpPr>
            <xdr:cNvPr id="1833" name="Button 170" hidden="1">
              <a:extLst>
                <a:ext uri="{63B3BB69-23CF-44E3-9099-C40C66FF867C}">
                  <a14:compatExt spid="_x0000_s1833"/>
                </a:ext>
                <a:ext uri="{FF2B5EF4-FFF2-40B4-BE49-F238E27FC236}">
                  <a16:creationId xmlns:a16="http://schemas.microsoft.com/office/drawing/2014/main" id="{00000000-0008-0000-0000-000029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129</xdr:row>
          <xdr:rowOff>19050</xdr:rowOff>
        </xdr:from>
        <xdr:to>
          <xdr:col>6</xdr:col>
          <xdr:colOff>447675</xdr:colOff>
          <xdr:row>129</xdr:row>
          <xdr:rowOff>266700</xdr:rowOff>
        </xdr:to>
        <xdr:sp macro="" textlink="">
          <xdr:nvSpPr>
            <xdr:cNvPr id="1834" name="Button 171" hidden="1">
              <a:extLst>
                <a:ext uri="{63B3BB69-23CF-44E3-9099-C40C66FF867C}">
                  <a14:compatExt spid="_x0000_s1834"/>
                </a:ext>
                <a:ext uri="{FF2B5EF4-FFF2-40B4-BE49-F238E27FC236}">
                  <a16:creationId xmlns:a16="http://schemas.microsoft.com/office/drawing/2014/main" id="{00000000-0008-0000-0000-00002A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129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130</xdr:row>
          <xdr:rowOff>19050</xdr:rowOff>
        </xdr:from>
        <xdr:to>
          <xdr:col>6</xdr:col>
          <xdr:colOff>447675</xdr:colOff>
          <xdr:row>130</xdr:row>
          <xdr:rowOff>266700</xdr:rowOff>
        </xdr:to>
        <xdr:sp macro="" textlink="">
          <xdr:nvSpPr>
            <xdr:cNvPr id="1835" name="Button 172" hidden="1">
              <a:extLst>
                <a:ext uri="{63B3BB69-23CF-44E3-9099-C40C66FF867C}">
                  <a14:compatExt spid="_x0000_s1835"/>
                </a:ext>
                <a:ext uri="{FF2B5EF4-FFF2-40B4-BE49-F238E27FC236}">
                  <a16:creationId xmlns:a16="http://schemas.microsoft.com/office/drawing/2014/main" id="{00000000-0008-0000-0000-00002B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131</xdr:row>
          <xdr:rowOff>19050</xdr:rowOff>
        </xdr:from>
        <xdr:to>
          <xdr:col>6</xdr:col>
          <xdr:colOff>447675</xdr:colOff>
          <xdr:row>131</xdr:row>
          <xdr:rowOff>266700</xdr:rowOff>
        </xdr:to>
        <xdr:sp macro="" textlink="">
          <xdr:nvSpPr>
            <xdr:cNvPr id="1836" name="Button 173" hidden="1">
              <a:extLst>
                <a:ext uri="{63B3BB69-23CF-44E3-9099-C40C66FF867C}">
                  <a14:compatExt spid="_x0000_s1836"/>
                </a:ext>
                <a:ext uri="{FF2B5EF4-FFF2-40B4-BE49-F238E27FC236}">
                  <a16:creationId xmlns:a16="http://schemas.microsoft.com/office/drawing/2014/main" id="{00000000-0008-0000-0000-00002C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132</xdr:row>
          <xdr:rowOff>19050</xdr:rowOff>
        </xdr:from>
        <xdr:to>
          <xdr:col>6</xdr:col>
          <xdr:colOff>447675</xdr:colOff>
          <xdr:row>132</xdr:row>
          <xdr:rowOff>266700</xdr:rowOff>
        </xdr:to>
        <xdr:sp macro="" textlink="">
          <xdr:nvSpPr>
            <xdr:cNvPr id="1837" name="Button 174" hidden="1">
              <a:extLst>
                <a:ext uri="{63B3BB69-23CF-44E3-9099-C40C66FF867C}">
                  <a14:compatExt spid="_x0000_s1837"/>
                </a:ext>
                <a:ext uri="{FF2B5EF4-FFF2-40B4-BE49-F238E27FC236}">
                  <a16:creationId xmlns:a16="http://schemas.microsoft.com/office/drawing/2014/main" id="{00000000-0008-0000-0000-00002D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133</xdr:row>
          <xdr:rowOff>19050</xdr:rowOff>
        </xdr:from>
        <xdr:to>
          <xdr:col>6</xdr:col>
          <xdr:colOff>447675</xdr:colOff>
          <xdr:row>133</xdr:row>
          <xdr:rowOff>266700</xdr:rowOff>
        </xdr:to>
        <xdr:sp macro="" textlink="">
          <xdr:nvSpPr>
            <xdr:cNvPr id="1838" name="Button 175" hidden="1">
              <a:extLst>
                <a:ext uri="{63B3BB69-23CF-44E3-9099-C40C66FF867C}">
                  <a14:compatExt spid="_x0000_s1838"/>
                </a:ext>
                <a:ext uri="{FF2B5EF4-FFF2-40B4-BE49-F238E27FC236}">
                  <a16:creationId xmlns:a16="http://schemas.microsoft.com/office/drawing/2014/main" id="{00000000-0008-0000-0000-00002E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134</xdr:row>
          <xdr:rowOff>19050</xdr:rowOff>
        </xdr:from>
        <xdr:to>
          <xdr:col>6</xdr:col>
          <xdr:colOff>447675</xdr:colOff>
          <xdr:row>134</xdr:row>
          <xdr:rowOff>266700</xdr:rowOff>
        </xdr:to>
        <xdr:sp macro="" textlink="">
          <xdr:nvSpPr>
            <xdr:cNvPr id="1839" name="Button 176" hidden="1">
              <a:extLst>
                <a:ext uri="{63B3BB69-23CF-44E3-9099-C40C66FF867C}">
                  <a14:compatExt spid="_x0000_s1839"/>
                </a:ext>
                <a:ext uri="{FF2B5EF4-FFF2-40B4-BE49-F238E27FC236}">
                  <a16:creationId xmlns:a16="http://schemas.microsoft.com/office/drawing/2014/main" id="{00000000-0008-0000-0000-00002F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135</xdr:row>
          <xdr:rowOff>19050</xdr:rowOff>
        </xdr:from>
        <xdr:to>
          <xdr:col>6</xdr:col>
          <xdr:colOff>447675</xdr:colOff>
          <xdr:row>135</xdr:row>
          <xdr:rowOff>266700</xdr:rowOff>
        </xdr:to>
        <xdr:sp macro="" textlink="">
          <xdr:nvSpPr>
            <xdr:cNvPr id="1840" name="Button 177" hidden="1">
              <a:extLst>
                <a:ext uri="{63B3BB69-23CF-44E3-9099-C40C66FF867C}">
                  <a14:compatExt spid="_x0000_s1840"/>
                </a:ext>
                <a:ext uri="{FF2B5EF4-FFF2-40B4-BE49-F238E27FC236}">
                  <a16:creationId xmlns:a16="http://schemas.microsoft.com/office/drawing/2014/main" id="{00000000-0008-0000-0000-000030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136</xdr:row>
          <xdr:rowOff>19050</xdr:rowOff>
        </xdr:from>
        <xdr:to>
          <xdr:col>6</xdr:col>
          <xdr:colOff>447675</xdr:colOff>
          <xdr:row>136</xdr:row>
          <xdr:rowOff>266700</xdr:rowOff>
        </xdr:to>
        <xdr:sp macro="" textlink="">
          <xdr:nvSpPr>
            <xdr:cNvPr id="1841" name="Button 178" hidden="1">
              <a:extLst>
                <a:ext uri="{63B3BB69-23CF-44E3-9099-C40C66FF867C}">
                  <a14:compatExt spid="_x0000_s1841"/>
                </a:ext>
                <a:ext uri="{FF2B5EF4-FFF2-40B4-BE49-F238E27FC236}">
                  <a16:creationId xmlns:a16="http://schemas.microsoft.com/office/drawing/2014/main" id="{00000000-0008-0000-0000-000031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137</xdr:row>
          <xdr:rowOff>19050</xdr:rowOff>
        </xdr:from>
        <xdr:to>
          <xdr:col>6</xdr:col>
          <xdr:colOff>447675</xdr:colOff>
          <xdr:row>137</xdr:row>
          <xdr:rowOff>266700</xdr:rowOff>
        </xdr:to>
        <xdr:sp macro="" textlink="">
          <xdr:nvSpPr>
            <xdr:cNvPr id="1842" name="Button 179" hidden="1">
              <a:extLst>
                <a:ext uri="{63B3BB69-23CF-44E3-9099-C40C66FF867C}">
                  <a14:compatExt spid="_x0000_s1842"/>
                </a:ext>
                <a:ext uri="{FF2B5EF4-FFF2-40B4-BE49-F238E27FC236}">
                  <a16:creationId xmlns:a16="http://schemas.microsoft.com/office/drawing/2014/main" id="{00000000-0008-0000-0000-000032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138</xdr:row>
          <xdr:rowOff>19050</xdr:rowOff>
        </xdr:from>
        <xdr:to>
          <xdr:col>6</xdr:col>
          <xdr:colOff>447675</xdr:colOff>
          <xdr:row>138</xdr:row>
          <xdr:rowOff>266700</xdr:rowOff>
        </xdr:to>
        <xdr:sp macro="" textlink="">
          <xdr:nvSpPr>
            <xdr:cNvPr id="1843" name="Button 180" hidden="1">
              <a:extLst>
                <a:ext uri="{63B3BB69-23CF-44E3-9099-C40C66FF867C}">
                  <a14:compatExt spid="_x0000_s1843"/>
                </a:ext>
                <a:ext uri="{FF2B5EF4-FFF2-40B4-BE49-F238E27FC236}">
                  <a16:creationId xmlns:a16="http://schemas.microsoft.com/office/drawing/2014/main" id="{00000000-0008-0000-0000-000033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139</xdr:row>
          <xdr:rowOff>19050</xdr:rowOff>
        </xdr:from>
        <xdr:to>
          <xdr:col>6</xdr:col>
          <xdr:colOff>447675</xdr:colOff>
          <xdr:row>139</xdr:row>
          <xdr:rowOff>266700</xdr:rowOff>
        </xdr:to>
        <xdr:sp macro="" textlink="">
          <xdr:nvSpPr>
            <xdr:cNvPr id="1844" name="Button 181" hidden="1">
              <a:extLst>
                <a:ext uri="{63B3BB69-23CF-44E3-9099-C40C66FF867C}">
                  <a14:compatExt spid="_x0000_s1844"/>
                </a:ext>
                <a:ext uri="{FF2B5EF4-FFF2-40B4-BE49-F238E27FC236}">
                  <a16:creationId xmlns:a16="http://schemas.microsoft.com/office/drawing/2014/main" id="{00000000-0008-0000-0000-000034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139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140</xdr:row>
          <xdr:rowOff>19050</xdr:rowOff>
        </xdr:from>
        <xdr:to>
          <xdr:col>6</xdr:col>
          <xdr:colOff>447675</xdr:colOff>
          <xdr:row>140</xdr:row>
          <xdr:rowOff>266700</xdr:rowOff>
        </xdr:to>
        <xdr:sp macro="" textlink="">
          <xdr:nvSpPr>
            <xdr:cNvPr id="1845" name="Button 182" hidden="1">
              <a:extLst>
                <a:ext uri="{63B3BB69-23CF-44E3-9099-C40C66FF867C}">
                  <a14:compatExt spid="_x0000_s1845"/>
                </a:ext>
                <a:ext uri="{FF2B5EF4-FFF2-40B4-BE49-F238E27FC236}">
                  <a16:creationId xmlns:a16="http://schemas.microsoft.com/office/drawing/2014/main" id="{00000000-0008-0000-0000-000035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141</xdr:row>
          <xdr:rowOff>19050</xdr:rowOff>
        </xdr:from>
        <xdr:to>
          <xdr:col>6</xdr:col>
          <xdr:colOff>447675</xdr:colOff>
          <xdr:row>141</xdr:row>
          <xdr:rowOff>266700</xdr:rowOff>
        </xdr:to>
        <xdr:sp macro="" textlink="">
          <xdr:nvSpPr>
            <xdr:cNvPr id="1846" name="Button 183" hidden="1">
              <a:extLst>
                <a:ext uri="{63B3BB69-23CF-44E3-9099-C40C66FF867C}">
                  <a14:compatExt spid="_x0000_s1846"/>
                </a:ext>
                <a:ext uri="{FF2B5EF4-FFF2-40B4-BE49-F238E27FC236}">
                  <a16:creationId xmlns:a16="http://schemas.microsoft.com/office/drawing/2014/main" id="{00000000-0008-0000-0000-000036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142</xdr:row>
          <xdr:rowOff>19050</xdr:rowOff>
        </xdr:from>
        <xdr:to>
          <xdr:col>6</xdr:col>
          <xdr:colOff>447675</xdr:colOff>
          <xdr:row>142</xdr:row>
          <xdr:rowOff>266700</xdr:rowOff>
        </xdr:to>
        <xdr:sp macro="" textlink="">
          <xdr:nvSpPr>
            <xdr:cNvPr id="1847" name="Button 184" hidden="1">
              <a:extLst>
                <a:ext uri="{63B3BB69-23CF-44E3-9099-C40C66FF867C}">
                  <a14:compatExt spid="_x0000_s1847"/>
                </a:ext>
                <a:ext uri="{FF2B5EF4-FFF2-40B4-BE49-F238E27FC236}">
                  <a16:creationId xmlns:a16="http://schemas.microsoft.com/office/drawing/2014/main" id="{00000000-0008-0000-0000-000037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143</xdr:row>
          <xdr:rowOff>19050</xdr:rowOff>
        </xdr:from>
        <xdr:to>
          <xdr:col>6</xdr:col>
          <xdr:colOff>447675</xdr:colOff>
          <xdr:row>143</xdr:row>
          <xdr:rowOff>266700</xdr:rowOff>
        </xdr:to>
        <xdr:sp macro="" textlink="">
          <xdr:nvSpPr>
            <xdr:cNvPr id="1848" name="Button 185" hidden="1">
              <a:extLst>
                <a:ext uri="{63B3BB69-23CF-44E3-9099-C40C66FF867C}">
                  <a14:compatExt spid="_x0000_s1848"/>
                </a:ext>
                <a:ext uri="{FF2B5EF4-FFF2-40B4-BE49-F238E27FC236}">
                  <a16:creationId xmlns:a16="http://schemas.microsoft.com/office/drawing/2014/main" id="{00000000-0008-0000-0000-000038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144</xdr:row>
          <xdr:rowOff>19050</xdr:rowOff>
        </xdr:from>
        <xdr:to>
          <xdr:col>6</xdr:col>
          <xdr:colOff>447675</xdr:colOff>
          <xdr:row>144</xdr:row>
          <xdr:rowOff>266700</xdr:rowOff>
        </xdr:to>
        <xdr:sp macro="" textlink="">
          <xdr:nvSpPr>
            <xdr:cNvPr id="1849" name="Button 186" hidden="1">
              <a:extLst>
                <a:ext uri="{63B3BB69-23CF-44E3-9099-C40C66FF867C}">
                  <a14:compatExt spid="_x0000_s1849"/>
                </a:ext>
                <a:ext uri="{FF2B5EF4-FFF2-40B4-BE49-F238E27FC236}">
                  <a16:creationId xmlns:a16="http://schemas.microsoft.com/office/drawing/2014/main" id="{00000000-0008-0000-0000-000039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145</xdr:row>
          <xdr:rowOff>19050</xdr:rowOff>
        </xdr:from>
        <xdr:to>
          <xdr:col>6</xdr:col>
          <xdr:colOff>447675</xdr:colOff>
          <xdr:row>145</xdr:row>
          <xdr:rowOff>266700</xdr:rowOff>
        </xdr:to>
        <xdr:sp macro="" textlink="">
          <xdr:nvSpPr>
            <xdr:cNvPr id="1850" name="Button 187" hidden="1">
              <a:extLst>
                <a:ext uri="{63B3BB69-23CF-44E3-9099-C40C66FF867C}">
                  <a14:compatExt spid="_x0000_s1850"/>
                </a:ext>
                <a:ext uri="{FF2B5EF4-FFF2-40B4-BE49-F238E27FC236}">
                  <a16:creationId xmlns:a16="http://schemas.microsoft.com/office/drawing/2014/main" id="{00000000-0008-0000-0000-00003A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146</xdr:row>
          <xdr:rowOff>19050</xdr:rowOff>
        </xdr:from>
        <xdr:to>
          <xdr:col>6</xdr:col>
          <xdr:colOff>447675</xdr:colOff>
          <xdr:row>146</xdr:row>
          <xdr:rowOff>266700</xdr:rowOff>
        </xdr:to>
        <xdr:sp macro="" textlink="">
          <xdr:nvSpPr>
            <xdr:cNvPr id="1851" name="Button 188" hidden="1">
              <a:extLst>
                <a:ext uri="{63B3BB69-23CF-44E3-9099-C40C66FF867C}">
                  <a14:compatExt spid="_x0000_s1851"/>
                </a:ext>
                <a:ext uri="{FF2B5EF4-FFF2-40B4-BE49-F238E27FC236}">
                  <a16:creationId xmlns:a16="http://schemas.microsoft.com/office/drawing/2014/main" id="{00000000-0008-0000-0000-00003B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147</xdr:row>
          <xdr:rowOff>19050</xdr:rowOff>
        </xdr:from>
        <xdr:to>
          <xdr:col>6</xdr:col>
          <xdr:colOff>447675</xdr:colOff>
          <xdr:row>147</xdr:row>
          <xdr:rowOff>266700</xdr:rowOff>
        </xdr:to>
        <xdr:sp macro="" textlink="">
          <xdr:nvSpPr>
            <xdr:cNvPr id="1852" name="Button 189" hidden="1">
              <a:extLst>
                <a:ext uri="{63B3BB69-23CF-44E3-9099-C40C66FF867C}">
                  <a14:compatExt spid="_x0000_s1852"/>
                </a:ext>
                <a:ext uri="{FF2B5EF4-FFF2-40B4-BE49-F238E27FC236}">
                  <a16:creationId xmlns:a16="http://schemas.microsoft.com/office/drawing/2014/main" id="{00000000-0008-0000-0000-00003C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148</xdr:row>
          <xdr:rowOff>19050</xdr:rowOff>
        </xdr:from>
        <xdr:to>
          <xdr:col>6</xdr:col>
          <xdr:colOff>447675</xdr:colOff>
          <xdr:row>148</xdr:row>
          <xdr:rowOff>266700</xdr:rowOff>
        </xdr:to>
        <xdr:sp macro="" textlink="">
          <xdr:nvSpPr>
            <xdr:cNvPr id="1853" name="Button 190" hidden="1">
              <a:extLst>
                <a:ext uri="{63B3BB69-23CF-44E3-9099-C40C66FF867C}">
                  <a14:compatExt spid="_x0000_s1853"/>
                </a:ext>
                <a:ext uri="{FF2B5EF4-FFF2-40B4-BE49-F238E27FC236}">
                  <a16:creationId xmlns:a16="http://schemas.microsoft.com/office/drawing/2014/main" id="{00000000-0008-0000-0000-00003D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149</xdr:row>
          <xdr:rowOff>19050</xdr:rowOff>
        </xdr:from>
        <xdr:to>
          <xdr:col>6</xdr:col>
          <xdr:colOff>447675</xdr:colOff>
          <xdr:row>149</xdr:row>
          <xdr:rowOff>266700</xdr:rowOff>
        </xdr:to>
        <xdr:sp macro="" textlink="">
          <xdr:nvSpPr>
            <xdr:cNvPr id="1854" name="Button 191" hidden="1">
              <a:extLst>
                <a:ext uri="{63B3BB69-23CF-44E3-9099-C40C66FF867C}">
                  <a14:compatExt spid="_x0000_s1854"/>
                </a:ext>
                <a:ext uri="{FF2B5EF4-FFF2-40B4-BE49-F238E27FC236}">
                  <a16:creationId xmlns:a16="http://schemas.microsoft.com/office/drawing/2014/main" id="{00000000-0008-0000-0000-00003E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149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150</xdr:row>
          <xdr:rowOff>19050</xdr:rowOff>
        </xdr:from>
        <xdr:to>
          <xdr:col>6</xdr:col>
          <xdr:colOff>447675</xdr:colOff>
          <xdr:row>150</xdr:row>
          <xdr:rowOff>266700</xdr:rowOff>
        </xdr:to>
        <xdr:sp macro="" textlink="">
          <xdr:nvSpPr>
            <xdr:cNvPr id="1855" name="Button 192" hidden="1">
              <a:extLst>
                <a:ext uri="{63B3BB69-23CF-44E3-9099-C40C66FF867C}">
                  <a14:compatExt spid="_x0000_s1855"/>
                </a:ext>
                <a:ext uri="{FF2B5EF4-FFF2-40B4-BE49-F238E27FC236}">
                  <a16:creationId xmlns:a16="http://schemas.microsoft.com/office/drawing/2014/main" id="{00000000-0008-0000-0000-00003F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151</xdr:row>
          <xdr:rowOff>19050</xdr:rowOff>
        </xdr:from>
        <xdr:to>
          <xdr:col>6</xdr:col>
          <xdr:colOff>447675</xdr:colOff>
          <xdr:row>151</xdr:row>
          <xdr:rowOff>266700</xdr:rowOff>
        </xdr:to>
        <xdr:sp macro="" textlink="">
          <xdr:nvSpPr>
            <xdr:cNvPr id="1856" name="Button 193" hidden="1">
              <a:extLst>
                <a:ext uri="{63B3BB69-23CF-44E3-9099-C40C66FF867C}">
                  <a14:compatExt spid="_x0000_s1856"/>
                </a:ext>
                <a:ext uri="{FF2B5EF4-FFF2-40B4-BE49-F238E27FC236}">
                  <a16:creationId xmlns:a16="http://schemas.microsoft.com/office/drawing/2014/main" id="{00000000-0008-0000-0000-000040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152</xdr:row>
          <xdr:rowOff>19050</xdr:rowOff>
        </xdr:from>
        <xdr:to>
          <xdr:col>6</xdr:col>
          <xdr:colOff>447675</xdr:colOff>
          <xdr:row>152</xdr:row>
          <xdr:rowOff>266700</xdr:rowOff>
        </xdr:to>
        <xdr:sp macro="" textlink="">
          <xdr:nvSpPr>
            <xdr:cNvPr id="1857" name="Button 194" hidden="1">
              <a:extLst>
                <a:ext uri="{63B3BB69-23CF-44E3-9099-C40C66FF867C}">
                  <a14:compatExt spid="_x0000_s1857"/>
                </a:ext>
                <a:ext uri="{FF2B5EF4-FFF2-40B4-BE49-F238E27FC236}">
                  <a16:creationId xmlns:a16="http://schemas.microsoft.com/office/drawing/2014/main" id="{00000000-0008-0000-0000-000041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153</xdr:row>
          <xdr:rowOff>19050</xdr:rowOff>
        </xdr:from>
        <xdr:to>
          <xdr:col>6</xdr:col>
          <xdr:colOff>447675</xdr:colOff>
          <xdr:row>153</xdr:row>
          <xdr:rowOff>266700</xdr:rowOff>
        </xdr:to>
        <xdr:sp macro="" textlink="">
          <xdr:nvSpPr>
            <xdr:cNvPr id="1858" name="Button 195" hidden="1">
              <a:extLst>
                <a:ext uri="{63B3BB69-23CF-44E3-9099-C40C66FF867C}">
                  <a14:compatExt spid="_x0000_s1858"/>
                </a:ext>
                <a:ext uri="{FF2B5EF4-FFF2-40B4-BE49-F238E27FC236}">
                  <a16:creationId xmlns:a16="http://schemas.microsoft.com/office/drawing/2014/main" id="{00000000-0008-0000-0000-000042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154</xdr:row>
          <xdr:rowOff>19050</xdr:rowOff>
        </xdr:from>
        <xdr:to>
          <xdr:col>6</xdr:col>
          <xdr:colOff>447675</xdr:colOff>
          <xdr:row>154</xdr:row>
          <xdr:rowOff>266700</xdr:rowOff>
        </xdr:to>
        <xdr:sp macro="" textlink="">
          <xdr:nvSpPr>
            <xdr:cNvPr id="1859" name="Button 196" hidden="1">
              <a:extLst>
                <a:ext uri="{63B3BB69-23CF-44E3-9099-C40C66FF867C}">
                  <a14:compatExt spid="_x0000_s1859"/>
                </a:ext>
                <a:ext uri="{FF2B5EF4-FFF2-40B4-BE49-F238E27FC236}">
                  <a16:creationId xmlns:a16="http://schemas.microsoft.com/office/drawing/2014/main" id="{00000000-0008-0000-0000-000043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155</xdr:row>
          <xdr:rowOff>19050</xdr:rowOff>
        </xdr:from>
        <xdr:to>
          <xdr:col>6</xdr:col>
          <xdr:colOff>447675</xdr:colOff>
          <xdr:row>155</xdr:row>
          <xdr:rowOff>266700</xdr:rowOff>
        </xdr:to>
        <xdr:sp macro="" textlink="">
          <xdr:nvSpPr>
            <xdr:cNvPr id="1860" name="Button 197" hidden="1">
              <a:extLst>
                <a:ext uri="{63B3BB69-23CF-44E3-9099-C40C66FF867C}">
                  <a14:compatExt spid="_x0000_s1860"/>
                </a:ext>
                <a:ext uri="{FF2B5EF4-FFF2-40B4-BE49-F238E27FC236}">
                  <a16:creationId xmlns:a16="http://schemas.microsoft.com/office/drawing/2014/main" id="{00000000-0008-0000-0000-000044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156</xdr:row>
          <xdr:rowOff>19050</xdr:rowOff>
        </xdr:from>
        <xdr:to>
          <xdr:col>6</xdr:col>
          <xdr:colOff>447675</xdr:colOff>
          <xdr:row>156</xdr:row>
          <xdr:rowOff>266700</xdr:rowOff>
        </xdr:to>
        <xdr:sp macro="" textlink="">
          <xdr:nvSpPr>
            <xdr:cNvPr id="1861" name="Button 198" hidden="1">
              <a:extLst>
                <a:ext uri="{63B3BB69-23CF-44E3-9099-C40C66FF867C}">
                  <a14:compatExt spid="_x0000_s1861"/>
                </a:ext>
                <a:ext uri="{FF2B5EF4-FFF2-40B4-BE49-F238E27FC236}">
                  <a16:creationId xmlns:a16="http://schemas.microsoft.com/office/drawing/2014/main" id="{00000000-0008-0000-0000-000045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157</xdr:row>
          <xdr:rowOff>19050</xdr:rowOff>
        </xdr:from>
        <xdr:to>
          <xdr:col>6</xdr:col>
          <xdr:colOff>447675</xdr:colOff>
          <xdr:row>157</xdr:row>
          <xdr:rowOff>266700</xdr:rowOff>
        </xdr:to>
        <xdr:sp macro="" textlink="">
          <xdr:nvSpPr>
            <xdr:cNvPr id="1862" name="Button 199" hidden="1">
              <a:extLst>
                <a:ext uri="{63B3BB69-23CF-44E3-9099-C40C66FF867C}">
                  <a14:compatExt spid="_x0000_s1862"/>
                </a:ext>
                <a:ext uri="{FF2B5EF4-FFF2-40B4-BE49-F238E27FC236}">
                  <a16:creationId xmlns:a16="http://schemas.microsoft.com/office/drawing/2014/main" id="{00000000-0008-0000-0000-000046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158</xdr:row>
          <xdr:rowOff>19050</xdr:rowOff>
        </xdr:from>
        <xdr:to>
          <xdr:col>6</xdr:col>
          <xdr:colOff>447675</xdr:colOff>
          <xdr:row>158</xdr:row>
          <xdr:rowOff>266700</xdr:rowOff>
        </xdr:to>
        <xdr:sp macro="" textlink="">
          <xdr:nvSpPr>
            <xdr:cNvPr id="1863" name="Button 200" hidden="1">
              <a:extLst>
                <a:ext uri="{63B3BB69-23CF-44E3-9099-C40C66FF867C}">
                  <a14:compatExt spid="_x0000_s1863"/>
                </a:ext>
                <a:ext uri="{FF2B5EF4-FFF2-40B4-BE49-F238E27FC236}">
                  <a16:creationId xmlns:a16="http://schemas.microsoft.com/office/drawing/2014/main" id="{00000000-0008-0000-0000-000047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159</xdr:row>
          <xdr:rowOff>19050</xdr:rowOff>
        </xdr:from>
        <xdr:to>
          <xdr:col>6</xdr:col>
          <xdr:colOff>447675</xdr:colOff>
          <xdr:row>159</xdr:row>
          <xdr:rowOff>266700</xdr:rowOff>
        </xdr:to>
        <xdr:sp macro="" textlink="">
          <xdr:nvSpPr>
            <xdr:cNvPr id="1864" name="Button 201" hidden="1">
              <a:extLst>
                <a:ext uri="{63B3BB69-23CF-44E3-9099-C40C66FF867C}">
                  <a14:compatExt spid="_x0000_s1864"/>
                </a:ext>
                <a:ext uri="{FF2B5EF4-FFF2-40B4-BE49-F238E27FC236}">
                  <a16:creationId xmlns:a16="http://schemas.microsoft.com/office/drawing/2014/main" id="{00000000-0008-0000-0000-000048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159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160</xdr:row>
          <xdr:rowOff>19050</xdr:rowOff>
        </xdr:from>
        <xdr:to>
          <xdr:col>6</xdr:col>
          <xdr:colOff>447675</xdr:colOff>
          <xdr:row>160</xdr:row>
          <xdr:rowOff>266700</xdr:rowOff>
        </xdr:to>
        <xdr:sp macro="" textlink="">
          <xdr:nvSpPr>
            <xdr:cNvPr id="1865" name="Button 202" hidden="1">
              <a:extLst>
                <a:ext uri="{63B3BB69-23CF-44E3-9099-C40C66FF867C}">
                  <a14:compatExt spid="_x0000_s1865"/>
                </a:ext>
                <a:ext uri="{FF2B5EF4-FFF2-40B4-BE49-F238E27FC236}">
                  <a16:creationId xmlns:a16="http://schemas.microsoft.com/office/drawing/2014/main" id="{00000000-0008-0000-0000-000049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26</xdr:row>
          <xdr:rowOff>28575</xdr:rowOff>
        </xdr:from>
        <xdr:to>
          <xdr:col>6</xdr:col>
          <xdr:colOff>428625</xdr:colOff>
          <xdr:row>26</xdr:row>
          <xdr:rowOff>266700</xdr:rowOff>
        </xdr:to>
        <xdr:sp macro="" textlink="">
          <xdr:nvSpPr>
            <xdr:cNvPr id="1866" name="Button 203" hidden="1">
              <a:extLst>
                <a:ext uri="{63B3BB69-23CF-44E3-9099-C40C66FF867C}">
                  <a14:compatExt spid="_x0000_s1866"/>
                </a:ext>
                <a:ext uri="{FF2B5EF4-FFF2-40B4-BE49-F238E27FC236}">
                  <a16:creationId xmlns:a16="http://schemas.microsoft.com/office/drawing/2014/main" id="{00000000-0008-0000-0000-00004A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51</xdr:row>
          <xdr:rowOff>28575</xdr:rowOff>
        </xdr:from>
        <xdr:to>
          <xdr:col>6</xdr:col>
          <xdr:colOff>447675</xdr:colOff>
          <xdr:row>51</xdr:row>
          <xdr:rowOff>266700</xdr:rowOff>
        </xdr:to>
        <xdr:sp macro="" textlink="">
          <xdr:nvSpPr>
            <xdr:cNvPr id="1867" name="Button 205" hidden="1">
              <a:extLst>
                <a:ext uri="{63B3BB69-23CF-44E3-9099-C40C66FF867C}">
                  <a14:compatExt spid="_x0000_s1867"/>
                </a:ext>
                <a:ext uri="{FF2B5EF4-FFF2-40B4-BE49-F238E27FC236}">
                  <a16:creationId xmlns:a16="http://schemas.microsoft.com/office/drawing/2014/main" id="{00000000-0008-0000-0000-00004B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50</xdr:row>
          <xdr:rowOff>19050</xdr:rowOff>
        </xdr:from>
        <xdr:to>
          <xdr:col>6</xdr:col>
          <xdr:colOff>457200</xdr:colOff>
          <xdr:row>50</xdr:row>
          <xdr:rowOff>266700</xdr:rowOff>
        </xdr:to>
        <xdr:sp macro="" textlink="">
          <xdr:nvSpPr>
            <xdr:cNvPr id="1868" name="Button 206" hidden="1">
              <a:extLst>
                <a:ext uri="{63B3BB69-23CF-44E3-9099-C40C66FF867C}">
                  <a14:compatExt spid="_x0000_s1868"/>
                </a:ext>
                <a:ext uri="{FF2B5EF4-FFF2-40B4-BE49-F238E27FC236}">
                  <a16:creationId xmlns:a16="http://schemas.microsoft.com/office/drawing/2014/main" id="{00000000-0008-0000-0000-00004C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52</xdr:row>
          <xdr:rowOff>19050</xdr:rowOff>
        </xdr:from>
        <xdr:to>
          <xdr:col>6</xdr:col>
          <xdr:colOff>447675</xdr:colOff>
          <xdr:row>52</xdr:row>
          <xdr:rowOff>266700</xdr:rowOff>
        </xdr:to>
        <xdr:sp macro="" textlink="">
          <xdr:nvSpPr>
            <xdr:cNvPr id="1869" name="Button 207" hidden="1">
              <a:extLst>
                <a:ext uri="{63B3BB69-23CF-44E3-9099-C40C66FF867C}">
                  <a14:compatExt spid="_x0000_s1869"/>
                </a:ext>
                <a:ext uri="{FF2B5EF4-FFF2-40B4-BE49-F238E27FC236}">
                  <a16:creationId xmlns:a16="http://schemas.microsoft.com/office/drawing/2014/main" id="{00000000-0008-0000-0000-00004D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52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74</xdr:row>
          <xdr:rowOff>19050</xdr:rowOff>
        </xdr:from>
        <xdr:to>
          <xdr:col>6</xdr:col>
          <xdr:colOff>447675</xdr:colOff>
          <xdr:row>74</xdr:row>
          <xdr:rowOff>276225</xdr:rowOff>
        </xdr:to>
        <xdr:sp macro="" textlink="">
          <xdr:nvSpPr>
            <xdr:cNvPr id="1870" name="Button 209" hidden="1">
              <a:extLst>
                <a:ext uri="{63B3BB69-23CF-44E3-9099-C40C66FF867C}">
                  <a14:compatExt spid="_x0000_s1870"/>
                </a:ext>
                <a:ext uri="{FF2B5EF4-FFF2-40B4-BE49-F238E27FC236}">
                  <a16:creationId xmlns:a16="http://schemas.microsoft.com/office/drawing/2014/main" id="{00000000-0008-0000-0000-00004E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74</a:t>
              </a:r>
            </a:p>
          </xdr:txBody>
        </xdr:sp>
        <xdr:clientData fPrintsWithSheet="0"/>
      </xdr:twoCellAnchor>
    </mc:Choice>
    <mc:Fallback/>
  </mc:AlternateContent>
  <xdr:twoCellAnchor editAs="oneCell">
    <xdr:from>
      <xdr:col>0</xdr:col>
      <xdr:colOff>11906</xdr:colOff>
      <xdr:row>0</xdr:row>
      <xdr:rowOff>47624</xdr:rowOff>
    </xdr:from>
    <xdr:to>
      <xdr:col>0</xdr:col>
      <xdr:colOff>455933</xdr:colOff>
      <xdr:row>0</xdr:row>
      <xdr:rowOff>380999</xdr:rowOff>
    </xdr:to>
    <xdr:pic>
      <xdr:nvPicPr>
        <xdr:cNvPr id="8" name="Immagin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906" y="47624"/>
          <a:ext cx="444027" cy="333375"/>
        </a:xfrm>
        <a:prstGeom prst="rect">
          <a:avLst/>
        </a:prstGeom>
      </xdr:spPr>
    </xdr:pic>
    <xdr:clientData/>
  </xdr:twoCellAnchor>
  <xdr:twoCellAnchor editAs="oneCell">
    <xdr:from>
      <xdr:col>16</xdr:col>
      <xdr:colOff>35718</xdr:colOff>
      <xdr:row>0</xdr:row>
      <xdr:rowOff>11906</xdr:rowOff>
    </xdr:from>
    <xdr:to>
      <xdr:col>16</xdr:col>
      <xdr:colOff>464343</xdr:colOff>
      <xdr:row>0</xdr:row>
      <xdr:rowOff>380999</xdr:rowOff>
    </xdr:to>
    <xdr:pic>
      <xdr:nvPicPr>
        <xdr:cNvPr id="9" name="Immagin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627893" y="11906"/>
          <a:ext cx="428625" cy="369093"/>
        </a:xfrm>
        <a:prstGeom prst="rect">
          <a:avLst/>
        </a:prstGeom>
      </xdr:spPr>
    </xdr:pic>
    <xdr:clientData/>
  </xdr:twoCellAnchor>
  <xdr:twoCellAnchor editAs="oneCell">
    <xdr:from>
      <xdr:col>6</xdr:col>
      <xdr:colOff>71437</xdr:colOff>
      <xdr:row>0</xdr:row>
      <xdr:rowOff>57149</xdr:rowOff>
    </xdr:from>
    <xdr:to>
      <xdr:col>6</xdr:col>
      <xdr:colOff>419100</xdr:colOff>
      <xdr:row>0</xdr:row>
      <xdr:rowOff>404812</xdr:rowOff>
    </xdr:to>
    <xdr:pic>
      <xdr:nvPicPr>
        <xdr:cNvPr id="10" name="Immagin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6157912" y="57149"/>
          <a:ext cx="347663" cy="347663"/>
        </a:xfrm>
        <a:prstGeom prst="rect">
          <a:avLst/>
        </a:prstGeom>
      </xdr:spPr>
    </xdr:pic>
    <xdr:clientData/>
  </xdr:twoCellAnchor>
  <xdr:oneCellAnchor>
    <xdr:from>
      <xdr:col>18</xdr:col>
      <xdr:colOff>28575</xdr:colOff>
      <xdr:row>41</xdr:row>
      <xdr:rowOff>57150</xdr:rowOff>
    </xdr:from>
    <xdr:ext cx="180975" cy="180975"/>
    <xdr:pic>
      <xdr:nvPicPr>
        <xdr:cNvPr id="562" name="Immagine 561">
          <a:extLst>
            <a:ext uri="{FF2B5EF4-FFF2-40B4-BE49-F238E27FC236}">
              <a16:creationId xmlns:a16="http://schemas.microsoft.com/office/drawing/2014/main" id="{00000000-0008-0000-0000-00003202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4782800" y="11706225"/>
          <a:ext cx="180975" cy="180975"/>
        </a:xfrm>
        <a:prstGeom prst="rect">
          <a:avLst/>
        </a:prstGeom>
      </xdr:spPr>
    </xdr:pic>
    <xdr:clientData/>
  </xdr:oneCellAnchor>
  <xdr:twoCellAnchor editAs="oneCell">
    <xdr:from>
      <xdr:col>11</xdr:col>
      <xdr:colOff>57150</xdr:colOff>
      <xdr:row>0</xdr:row>
      <xdr:rowOff>9525</xdr:rowOff>
    </xdr:from>
    <xdr:to>
      <xdr:col>11</xdr:col>
      <xdr:colOff>323626</xdr:colOff>
      <xdr:row>0</xdr:row>
      <xdr:rowOff>285750</xdr:rowOff>
    </xdr:to>
    <xdr:pic>
      <xdr:nvPicPr>
        <xdr:cNvPr id="563" name="Immagine 562">
          <a:extLst>
            <a:ext uri="{FF2B5EF4-FFF2-40B4-BE49-F238E27FC236}">
              <a16:creationId xmlns:a16="http://schemas.microsoft.com/office/drawing/2014/main" id="{00000000-0008-0000-0000-00003302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039225" y="9525"/>
          <a:ext cx="266476" cy="276225"/>
        </a:xfrm>
        <a:prstGeom prst="rect">
          <a:avLst/>
        </a:prstGeom>
      </xdr:spPr>
    </xdr:pic>
    <xdr:clientData/>
  </xdr:twoCellAnchor>
  <xdr:twoCellAnchor editAs="oneCell">
    <xdr:from>
      <xdr:col>12</xdr:col>
      <xdr:colOff>85725</xdr:colOff>
      <xdr:row>0</xdr:row>
      <xdr:rowOff>9525</xdr:rowOff>
    </xdr:from>
    <xdr:to>
      <xdr:col>12</xdr:col>
      <xdr:colOff>352201</xdr:colOff>
      <xdr:row>0</xdr:row>
      <xdr:rowOff>285750</xdr:rowOff>
    </xdr:to>
    <xdr:pic>
      <xdr:nvPicPr>
        <xdr:cNvPr id="564" name="Immagine 563">
          <a:extLst>
            <a:ext uri="{FF2B5EF4-FFF2-40B4-BE49-F238E27FC236}">
              <a16:creationId xmlns:a16="http://schemas.microsoft.com/office/drawing/2014/main" id="{00000000-0008-0000-0000-00003402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505950" y="9525"/>
          <a:ext cx="266476" cy="276225"/>
        </a:xfrm>
        <a:prstGeom prst="rect">
          <a:avLst/>
        </a:prstGeom>
      </xdr:spPr>
    </xdr:pic>
    <xdr:clientData/>
  </xdr:twoCellAnchor>
  <xdr:twoCellAnchor editAs="oneCell">
    <xdr:from>
      <xdr:col>14</xdr:col>
      <xdr:colOff>19050</xdr:colOff>
      <xdr:row>0</xdr:row>
      <xdr:rowOff>123825</xdr:rowOff>
    </xdr:from>
    <xdr:to>
      <xdr:col>14</xdr:col>
      <xdr:colOff>228600</xdr:colOff>
      <xdr:row>0</xdr:row>
      <xdr:rowOff>333375</xdr:rowOff>
    </xdr:to>
    <xdr:pic>
      <xdr:nvPicPr>
        <xdr:cNvPr id="565" name="Immagine 564">
          <a:extLst>
            <a:ext uri="{FF2B5EF4-FFF2-40B4-BE49-F238E27FC236}">
              <a16:creationId xmlns:a16="http://schemas.microsoft.com/office/drawing/2014/main" id="{00000000-0008-0000-0000-00003502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639550" y="123825"/>
          <a:ext cx="209550" cy="20955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28575</xdr:colOff>
          <xdr:row>161</xdr:row>
          <xdr:rowOff>19050</xdr:rowOff>
        </xdr:from>
        <xdr:to>
          <xdr:col>0</xdr:col>
          <xdr:colOff>447675</xdr:colOff>
          <xdr:row>161</xdr:row>
          <xdr:rowOff>266700</xdr:rowOff>
        </xdr:to>
        <xdr:sp macro="" textlink="">
          <xdr:nvSpPr>
            <xdr:cNvPr id="1928" name="Button 201" hidden="1">
              <a:extLst>
                <a:ext uri="{63B3BB69-23CF-44E3-9099-C40C66FF867C}">
                  <a14:compatExt spid="_x0000_s1928"/>
                </a:ext>
                <a:ext uri="{FF2B5EF4-FFF2-40B4-BE49-F238E27FC236}">
                  <a16:creationId xmlns:a16="http://schemas.microsoft.com/office/drawing/2014/main" id="{00000000-0008-0000-0000-000088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162</xdr:row>
          <xdr:rowOff>19050</xdr:rowOff>
        </xdr:from>
        <xdr:to>
          <xdr:col>0</xdr:col>
          <xdr:colOff>447675</xdr:colOff>
          <xdr:row>162</xdr:row>
          <xdr:rowOff>266700</xdr:rowOff>
        </xdr:to>
        <xdr:sp macro="" textlink="">
          <xdr:nvSpPr>
            <xdr:cNvPr id="1929" name="Button 202" hidden="1">
              <a:extLst>
                <a:ext uri="{63B3BB69-23CF-44E3-9099-C40C66FF867C}">
                  <a14:compatExt spid="_x0000_s1929"/>
                </a:ext>
                <a:ext uri="{FF2B5EF4-FFF2-40B4-BE49-F238E27FC236}">
                  <a16:creationId xmlns:a16="http://schemas.microsoft.com/office/drawing/2014/main" id="{00000000-0008-0000-0000-000089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161</xdr:row>
          <xdr:rowOff>19050</xdr:rowOff>
        </xdr:from>
        <xdr:to>
          <xdr:col>16</xdr:col>
          <xdr:colOff>447675</xdr:colOff>
          <xdr:row>161</xdr:row>
          <xdr:rowOff>266700</xdr:rowOff>
        </xdr:to>
        <xdr:sp macro="" textlink="">
          <xdr:nvSpPr>
            <xdr:cNvPr id="1930" name="Button 357" hidden="1">
              <a:extLst>
                <a:ext uri="{63B3BB69-23CF-44E3-9099-C40C66FF867C}">
                  <a14:compatExt spid="_x0000_s1930"/>
                </a:ext>
                <a:ext uri="{FF2B5EF4-FFF2-40B4-BE49-F238E27FC236}">
                  <a16:creationId xmlns:a16="http://schemas.microsoft.com/office/drawing/2014/main" id="{00000000-0008-0000-0000-00008A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162</xdr:row>
          <xdr:rowOff>19050</xdr:rowOff>
        </xdr:from>
        <xdr:to>
          <xdr:col>16</xdr:col>
          <xdr:colOff>447675</xdr:colOff>
          <xdr:row>162</xdr:row>
          <xdr:rowOff>266700</xdr:rowOff>
        </xdr:to>
        <xdr:sp macro="" textlink="">
          <xdr:nvSpPr>
            <xdr:cNvPr id="1931" name="Button 358" hidden="1">
              <a:extLst>
                <a:ext uri="{63B3BB69-23CF-44E3-9099-C40C66FF867C}">
                  <a14:compatExt spid="_x0000_s1931"/>
                </a:ext>
                <a:ext uri="{FF2B5EF4-FFF2-40B4-BE49-F238E27FC236}">
                  <a16:creationId xmlns:a16="http://schemas.microsoft.com/office/drawing/2014/main" id="{00000000-0008-0000-0000-00008B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161</xdr:row>
          <xdr:rowOff>19050</xdr:rowOff>
        </xdr:from>
        <xdr:to>
          <xdr:col>6</xdr:col>
          <xdr:colOff>447675</xdr:colOff>
          <xdr:row>161</xdr:row>
          <xdr:rowOff>266700</xdr:rowOff>
        </xdr:to>
        <xdr:sp macro="" textlink="">
          <xdr:nvSpPr>
            <xdr:cNvPr id="1932" name="Button 201" hidden="1">
              <a:extLst>
                <a:ext uri="{63B3BB69-23CF-44E3-9099-C40C66FF867C}">
                  <a14:compatExt spid="_x0000_s1932"/>
                </a:ext>
                <a:ext uri="{FF2B5EF4-FFF2-40B4-BE49-F238E27FC236}">
                  <a16:creationId xmlns:a16="http://schemas.microsoft.com/office/drawing/2014/main" id="{00000000-0008-0000-0000-00008C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162</xdr:row>
          <xdr:rowOff>19050</xdr:rowOff>
        </xdr:from>
        <xdr:to>
          <xdr:col>6</xdr:col>
          <xdr:colOff>447675</xdr:colOff>
          <xdr:row>162</xdr:row>
          <xdr:rowOff>266700</xdr:rowOff>
        </xdr:to>
        <xdr:sp macro="" textlink="">
          <xdr:nvSpPr>
            <xdr:cNvPr id="1933" name="Button 202" hidden="1">
              <a:extLst>
                <a:ext uri="{63B3BB69-23CF-44E3-9099-C40C66FF867C}">
                  <a14:compatExt spid="_x0000_s1933"/>
                </a:ext>
                <a:ext uri="{FF2B5EF4-FFF2-40B4-BE49-F238E27FC236}">
                  <a16:creationId xmlns:a16="http://schemas.microsoft.com/office/drawing/2014/main" id="{00000000-0008-0000-0000-00008D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162</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163</xdr:row>
          <xdr:rowOff>19050</xdr:rowOff>
        </xdr:from>
        <xdr:to>
          <xdr:col>0</xdr:col>
          <xdr:colOff>447675</xdr:colOff>
          <xdr:row>163</xdr:row>
          <xdr:rowOff>266700</xdr:rowOff>
        </xdr:to>
        <xdr:sp macro="" textlink="">
          <xdr:nvSpPr>
            <xdr:cNvPr id="1934" name="Button 201" hidden="1">
              <a:extLst>
                <a:ext uri="{63B3BB69-23CF-44E3-9099-C40C66FF867C}">
                  <a14:compatExt spid="_x0000_s1934"/>
                </a:ext>
                <a:ext uri="{FF2B5EF4-FFF2-40B4-BE49-F238E27FC236}">
                  <a16:creationId xmlns:a16="http://schemas.microsoft.com/office/drawing/2014/main" id="{00000000-0008-0000-0000-00008E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163</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164</xdr:row>
          <xdr:rowOff>19050</xdr:rowOff>
        </xdr:from>
        <xdr:to>
          <xdr:col>0</xdr:col>
          <xdr:colOff>447675</xdr:colOff>
          <xdr:row>164</xdr:row>
          <xdr:rowOff>266700</xdr:rowOff>
        </xdr:to>
        <xdr:sp macro="" textlink="">
          <xdr:nvSpPr>
            <xdr:cNvPr id="1935" name="Button 202" hidden="1">
              <a:extLst>
                <a:ext uri="{63B3BB69-23CF-44E3-9099-C40C66FF867C}">
                  <a14:compatExt spid="_x0000_s1935"/>
                </a:ext>
                <a:ext uri="{FF2B5EF4-FFF2-40B4-BE49-F238E27FC236}">
                  <a16:creationId xmlns:a16="http://schemas.microsoft.com/office/drawing/2014/main" id="{00000000-0008-0000-0000-00008F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163</xdr:row>
          <xdr:rowOff>19050</xdr:rowOff>
        </xdr:from>
        <xdr:to>
          <xdr:col>16</xdr:col>
          <xdr:colOff>447675</xdr:colOff>
          <xdr:row>163</xdr:row>
          <xdr:rowOff>266700</xdr:rowOff>
        </xdr:to>
        <xdr:sp macro="" textlink="">
          <xdr:nvSpPr>
            <xdr:cNvPr id="1936" name="Button 357"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164</xdr:row>
          <xdr:rowOff>19050</xdr:rowOff>
        </xdr:from>
        <xdr:to>
          <xdr:col>16</xdr:col>
          <xdr:colOff>447675</xdr:colOff>
          <xdr:row>164</xdr:row>
          <xdr:rowOff>266700</xdr:rowOff>
        </xdr:to>
        <xdr:sp macro="" textlink="">
          <xdr:nvSpPr>
            <xdr:cNvPr id="1937" name="Button 358" hidden="1">
              <a:extLst>
                <a:ext uri="{63B3BB69-23CF-44E3-9099-C40C66FF867C}">
                  <a14:compatExt spid="_x0000_s1937"/>
                </a:ext>
                <a:ext uri="{FF2B5EF4-FFF2-40B4-BE49-F238E27FC236}">
                  <a16:creationId xmlns:a16="http://schemas.microsoft.com/office/drawing/2014/main" id="{00000000-0008-0000-0000-000091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163</xdr:row>
          <xdr:rowOff>19050</xdr:rowOff>
        </xdr:from>
        <xdr:to>
          <xdr:col>6</xdr:col>
          <xdr:colOff>447675</xdr:colOff>
          <xdr:row>163</xdr:row>
          <xdr:rowOff>266700</xdr:rowOff>
        </xdr:to>
        <xdr:sp macro="" textlink="">
          <xdr:nvSpPr>
            <xdr:cNvPr id="1938" name="Button 201" hidden="1">
              <a:extLst>
                <a:ext uri="{63B3BB69-23CF-44E3-9099-C40C66FF867C}">
                  <a14:compatExt spid="_x0000_s1938"/>
                </a:ext>
                <a:ext uri="{FF2B5EF4-FFF2-40B4-BE49-F238E27FC236}">
                  <a16:creationId xmlns:a16="http://schemas.microsoft.com/office/drawing/2014/main" id="{00000000-0008-0000-0000-000092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164</xdr:row>
          <xdr:rowOff>19050</xdr:rowOff>
        </xdr:from>
        <xdr:to>
          <xdr:col>6</xdr:col>
          <xdr:colOff>447675</xdr:colOff>
          <xdr:row>164</xdr:row>
          <xdr:rowOff>266700</xdr:rowOff>
        </xdr:to>
        <xdr:sp macro="" textlink="">
          <xdr:nvSpPr>
            <xdr:cNvPr id="1939" name="Button 202" hidden="1">
              <a:extLst>
                <a:ext uri="{63B3BB69-23CF-44E3-9099-C40C66FF867C}">
                  <a14:compatExt spid="_x0000_s1939"/>
                </a:ext>
                <a:ext uri="{FF2B5EF4-FFF2-40B4-BE49-F238E27FC236}">
                  <a16:creationId xmlns:a16="http://schemas.microsoft.com/office/drawing/2014/main" id="{00000000-0008-0000-0000-000093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165</xdr:row>
          <xdr:rowOff>19050</xdr:rowOff>
        </xdr:from>
        <xdr:to>
          <xdr:col>0</xdr:col>
          <xdr:colOff>447675</xdr:colOff>
          <xdr:row>165</xdr:row>
          <xdr:rowOff>266700</xdr:rowOff>
        </xdr:to>
        <xdr:sp macro="" textlink="">
          <xdr:nvSpPr>
            <xdr:cNvPr id="1940" name="Button 201" hidden="1">
              <a:extLst>
                <a:ext uri="{63B3BB69-23CF-44E3-9099-C40C66FF867C}">
                  <a14:compatExt spid="_x0000_s1940"/>
                </a:ext>
                <a:ext uri="{FF2B5EF4-FFF2-40B4-BE49-F238E27FC236}">
                  <a16:creationId xmlns:a16="http://schemas.microsoft.com/office/drawing/2014/main" id="{00000000-0008-0000-0000-000094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166</xdr:row>
          <xdr:rowOff>19050</xdr:rowOff>
        </xdr:from>
        <xdr:to>
          <xdr:col>0</xdr:col>
          <xdr:colOff>447675</xdr:colOff>
          <xdr:row>166</xdr:row>
          <xdr:rowOff>266700</xdr:rowOff>
        </xdr:to>
        <xdr:sp macro="" textlink="">
          <xdr:nvSpPr>
            <xdr:cNvPr id="1941" name="Button 202" hidden="1">
              <a:extLst>
                <a:ext uri="{63B3BB69-23CF-44E3-9099-C40C66FF867C}">
                  <a14:compatExt spid="_x0000_s1941"/>
                </a:ext>
                <a:ext uri="{FF2B5EF4-FFF2-40B4-BE49-F238E27FC236}">
                  <a16:creationId xmlns:a16="http://schemas.microsoft.com/office/drawing/2014/main" id="{00000000-0008-0000-0000-000095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165</xdr:row>
          <xdr:rowOff>19050</xdr:rowOff>
        </xdr:from>
        <xdr:to>
          <xdr:col>16</xdr:col>
          <xdr:colOff>447675</xdr:colOff>
          <xdr:row>165</xdr:row>
          <xdr:rowOff>266700</xdr:rowOff>
        </xdr:to>
        <xdr:sp macro="" textlink="">
          <xdr:nvSpPr>
            <xdr:cNvPr id="1942" name="Button 357" hidden="1">
              <a:extLst>
                <a:ext uri="{63B3BB69-23CF-44E3-9099-C40C66FF867C}">
                  <a14:compatExt spid="_x0000_s1942"/>
                </a:ext>
                <a:ext uri="{FF2B5EF4-FFF2-40B4-BE49-F238E27FC236}">
                  <a16:creationId xmlns:a16="http://schemas.microsoft.com/office/drawing/2014/main" id="{00000000-0008-0000-0000-000096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166</xdr:row>
          <xdr:rowOff>19050</xdr:rowOff>
        </xdr:from>
        <xdr:to>
          <xdr:col>16</xdr:col>
          <xdr:colOff>447675</xdr:colOff>
          <xdr:row>166</xdr:row>
          <xdr:rowOff>266700</xdr:rowOff>
        </xdr:to>
        <xdr:sp macro="" textlink="">
          <xdr:nvSpPr>
            <xdr:cNvPr id="1943" name="Button 358" hidden="1">
              <a:extLst>
                <a:ext uri="{63B3BB69-23CF-44E3-9099-C40C66FF867C}">
                  <a14:compatExt spid="_x0000_s1943"/>
                </a:ext>
                <a:ext uri="{FF2B5EF4-FFF2-40B4-BE49-F238E27FC236}">
                  <a16:creationId xmlns:a16="http://schemas.microsoft.com/office/drawing/2014/main" id="{00000000-0008-0000-0000-000097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165</xdr:row>
          <xdr:rowOff>19050</xdr:rowOff>
        </xdr:from>
        <xdr:to>
          <xdr:col>6</xdr:col>
          <xdr:colOff>447675</xdr:colOff>
          <xdr:row>165</xdr:row>
          <xdr:rowOff>266700</xdr:rowOff>
        </xdr:to>
        <xdr:sp macro="" textlink="">
          <xdr:nvSpPr>
            <xdr:cNvPr id="1944" name="Button 201" hidden="1">
              <a:extLst>
                <a:ext uri="{63B3BB69-23CF-44E3-9099-C40C66FF867C}">
                  <a14:compatExt spid="_x0000_s1944"/>
                </a:ext>
                <a:ext uri="{FF2B5EF4-FFF2-40B4-BE49-F238E27FC236}">
                  <a16:creationId xmlns:a16="http://schemas.microsoft.com/office/drawing/2014/main" id="{00000000-0008-0000-0000-000098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166</xdr:row>
          <xdr:rowOff>19050</xdr:rowOff>
        </xdr:from>
        <xdr:to>
          <xdr:col>6</xdr:col>
          <xdr:colOff>447675</xdr:colOff>
          <xdr:row>166</xdr:row>
          <xdr:rowOff>266700</xdr:rowOff>
        </xdr:to>
        <xdr:sp macro="" textlink="">
          <xdr:nvSpPr>
            <xdr:cNvPr id="1945" name="Button 202" hidden="1">
              <a:extLst>
                <a:ext uri="{63B3BB69-23CF-44E3-9099-C40C66FF867C}">
                  <a14:compatExt spid="_x0000_s1945"/>
                </a:ext>
                <a:ext uri="{FF2B5EF4-FFF2-40B4-BE49-F238E27FC236}">
                  <a16:creationId xmlns:a16="http://schemas.microsoft.com/office/drawing/2014/main" id="{00000000-0008-0000-0000-000099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167</xdr:row>
          <xdr:rowOff>19050</xdr:rowOff>
        </xdr:from>
        <xdr:to>
          <xdr:col>0</xdr:col>
          <xdr:colOff>447675</xdr:colOff>
          <xdr:row>167</xdr:row>
          <xdr:rowOff>266700</xdr:rowOff>
        </xdr:to>
        <xdr:sp macro="" textlink="">
          <xdr:nvSpPr>
            <xdr:cNvPr id="1946" name="Button 201" hidden="1">
              <a:extLst>
                <a:ext uri="{63B3BB69-23CF-44E3-9099-C40C66FF867C}">
                  <a14:compatExt spid="_x0000_s1946"/>
                </a:ext>
                <a:ext uri="{FF2B5EF4-FFF2-40B4-BE49-F238E27FC236}">
                  <a16:creationId xmlns:a16="http://schemas.microsoft.com/office/drawing/2014/main" id="{00000000-0008-0000-0000-00009A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167</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168</xdr:row>
          <xdr:rowOff>19050</xdr:rowOff>
        </xdr:from>
        <xdr:to>
          <xdr:col>0</xdr:col>
          <xdr:colOff>447675</xdr:colOff>
          <xdr:row>168</xdr:row>
          <xdr:rowOff>266700</xdr:rowOff>
        </xdr:to>
        <xdr:sp macro="" textlink="">
          <xdr:nvSpPr>
            <xdr:cNvPr id="1947" name="Button 202" hidden="1">
              <a:extLst>
                <a:ext uri="{63B3BB69-23CF-44E3-9099-C40C66FF867C}">
                  <a14:compatExt spid="_x0000_s1947"/>
                </a:ext>
                <a:ext uri="{FF2B5EF4-FFF2-40B4-BE49-F238E27FC236}">
                  <a16:creationId xmlns:a16="http://schemas.microsoft.com/office/drawing/2014/main" id="{00000000-0008-0000-0000-00009B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168</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167</xdr:row>
          <xdr:rowOff>19050</xdr:rowOff>
        </xdr:from>
        <xdr:to>
          <xdr:col>16</xdr:col>
          <xdr:colOff>447675</xdr:colOff>
          <xdr:row>167</xdr:row>
          <xdr:rowOff>266700</xdr:rowOff>
        </xdr:to>
        <xdr:sp macro="" textlink="">
          <xdr:nvSpPr>
            <xdr:cNvPr id="1948" name="Button 357" hidden="1">
              <a:extLst>
                <a:ext uri="{63B3BB69-23CF-44E3-9099-C40C66FF867C}">
                  <a14:compatExt spid="_x0000_s1948"/>
                </a:ext>
                <a:ext uri="{FF2B5EF4-FFF2-40B4-BE49-F238E27FC236}">
                  <a16:creationId xmlns:a16="http://schemas.microsoft.com/office/drawing/2014/main" id="{00000000-0008-0000-0000-00009C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168</xdr:row>
          <xdr:rowOff>19050</xdr:rowOff>
        </xdr:from>
        <xdr:to>
          <xdr:col>16</xdr:col>
          <xdr:colOff>447675</xdr:colOff>
          <xdr:row>168</xdr:row>
          <xdr:rowOff>266700</xdr:rowOff>
        </xdr:to>
        <xdr:sp macro="" textlink="">
          <xdr:nvSpPr>
            <xdr:cNvPr id="1949" name="Button 358" hidden="1">
              <a:extLst>
                <a:ext uri="{63B3BB69-23CF-44E3-9099-C40C66FF867C}">
                  <a14:compatExt spid="_x0000_s1949"/>
                </a:ext>
                <a:ext uri="{FF2B5EF4-FFF2-40B4-BE49-F238E27FC236}">
                  <a16:creationId xmlns:a16="http://schemas.microsoft.com/office/drawing/2014/main" id="{00000000-0008-0000-0000-00009D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167</xdr:row>
          <xdr:rowOff>19050</xdr:rowOff>
        </xdr:from>
        <xdr:to>
          <xdr:col>6</xdr:col>
          <xdr:colOff>447675</xdr:colOff>
          <xdr:row>167</xdr:row>
          <xdr:rowOff>266700</xdr:rowOff>
        </xdr:to>
        <xdr:sp macro="" textlink="">
          <xdr:nvSpPr>
            <xdr:cNvPr id="1950" name="Button 201" hidden="1">
              <a:extLst>
                <a:ext uri="{63B3BB69-23CF-44E3-9099-C40C66FF867C}">
                  <a14:compatExt spid="_x0000_s1950"/>
                </a:ext>
                <a:ext uri="{FF2B5EF4-FFF2-40B4-BE49-F238E27FC236}">
                  <a16:creationId xmlns:a16="http://schemas.microsoft.com/office/drawing/2014/main" id="{00000000-0008-0000-0000-00009E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168</xdr:row>
          <xdr:rowOff>19050</xdr:rowOff>
        </xdr:from>
        <xdr:to>
          <xdr:col>6</xdr:col>
          <xdr:colOff>447675</xdr:colOff>
          <xdr:row>168</xdr:row>
          <xdr:rowOff>266700</xdr:rowOff>
        </xdr:to>
        <xdr:sp macro="" textlink="">
          <xdr:nvSpPr>
            <xdr:cNvPr id="1951" name="Button 202" hidden="1">
              <a:extLst>
                <a:ext uri="{63B3BB69-23CF-44E3-9099-C40C66FF867C}">
                  <a14:compatExt spid="_x0000_s1951"/>
                </a:ext>
                <a:ext uri="{FF2B5EF4-FFF2-40B4-BE49-F238E27FC236}">
                  <a16:creationId xmlns:a16="http://schemas.microsoft.com/office/drawing/2014/main" id="{00000000-0008-0000-0000-00009F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169</xdr:row>
          <xdr:rowOff>19050</xdr:rowOff>
        </xdr:from>
        <xdr:to>
          <xdr:col>0</xdr:col>
          <xdr:colOff>447675</xdr:colOff>
          <xdr:row>169</xdr:row>
          <xdr:rowOff>266700</xdr:rowOff>
        </xdr:to>
        <xdr:sp macro="" textlink="">
          <xdr:nvSpPr>
            <xdr:cNvPr id="1952" name="Button 201" hidden="1">
              <a:extLst>
                <a:ext uri="{63B3BB69-23CF-44E3-9099-C40C66FF867C}">
                  <a14:compatExt spid="_x0000_s1952"/>
                </a:ext>
                <a:ext uri="{FF2B5EF4-FFF2-40B4-BE49-F238E27FC236}">
                  <a16:creationId xmlns:a16="http://schemas.microsoft.com/office/drawing/2014/main" id="{00000000-0008-0000-0000-0000A0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170</xdr:row>
          <xdr:rowOff>19050</xdr:rowOff>
        </xdr:from>
        <xdr:to>
          <xdr:col>0</xdr:col>
          <xdr:colOff>447675</xdr:colOff>
          <xdr:row>170</xdr:row>
          <xdr:rowOff>266700</xdr:rowOff>
        </xdr:to>
        <xdr:sp macro="" textlink="">
          <xdr:nvSpPr>
            <xdr:cNvPr id="1953" name="Button 202" hidden="1">
              <a:extLst>
                <a:ext uri="{63B3BB69-23CF-44E3-9099-C40C66FF867C}">
                  <a14:compatExt spid="_x0000_s1953"/>
                </a:ext>
                <a:ext uri="{FF2B5EF4-FFF2-40B4-BE49-F238E27FC236}">
                  <a16:creationId xmlns:a16="http://schemas.microsoft.com/office/drawing/2014/main" id="{00000000-0008-0000-0000-0000A1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169</xdr:row>
          <xdr:rowOff>19050</xdr:rowOff>
        </xdr:from>
        <xdr:to>
          <xdr:col>16</xdr:col>
          <xdr:colOff>447675</xdr:colOff>
          <xdr:row>169</xdr:row>
          <xdr:rowOff>266700</xdr:rowOff>
        </xdr:to>
        <xdr:sp macro="" textlink="">
          <xdr:nvSpPr>
            <xdr:cNvPr id="1954" name="Button 357" hidden="1">
              <a:extLst>
                <a:ext uri="{63B3BB69-23CF-44E3-9099-C40C66FF867C}">
                  <a14:compatExt spid="_x0000_s1954"/>
                </a:ext>
                <a:ext uri="{FF2B5EF4-FFF2-40B4-BE49-F238E27FC236}">
                  <a16:creationId xmlns:a16="http://schemas.microsoft.com/office/drawing/2014/main" id="{00000000-0008-0000-0000-0000A2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170</xdr:row>
          <xdr:rowOff>19050</xdr:rowOff>
        </xdr:from>
        <xdr:to>
          <xdr:col>16</xdr:col>
          <xdr:colOff>447675</xdr:colOff>
          <xdr:row>170</xdr:row>
          <xdr:rowOff>266700</xdr:rowOff>
        </xdr:to>
        <xdr:sp macro="" textlink="">
          <xdr:nvSpPr>
            <xdr:cNvPr id="1955" name="Button 358" hidden="1">
              <a:extLst>
                <a:ext uri="{63B3BB69-23CF-44E3-9099-C40C66FF867C}">
                  <a14:compatExt spid="_x0000_s1955"/>
                </a:ext>
                <a:ext uri="{FF2B5EF4-FFF2-40B4-BE49-F238E27FC236}">
                  <a16:creationId xmlns:a16="http://schemas.microsoft.com/office/drawing/2014/main" id="{00000000-0008-0000-0000-0000A3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169</xdr:row>
          <xdr:rowOff>19050</xdr:rowOff>
        </xdr:from>
        <xdr:to>
          <xdr:col>6</xdr:col>
          <xdr:colOff>447675</xdr:colOff>
          <xdr:row>169</xdr:row>
          <xdr:rowOff>266700</xdr:rowOff>
        </xdr:to>
        <xdr:sp macro="" textlink="">
          <xdr:nvSpPr>
            <xdr:cNvPr id="1956" name="Button 201" hidden="1">
              <a:extLst>
                <a:ext uri="{63B3BB69-23CF-44E3-9099-C40C66FF867C}">
                  <a14:compatExt spid="_x0000_s1956"/>
                </a:ext>
                <a:ext uri="{FF2B5EF4-FFF2-40B4-BE49-F238E27FC236}">
                  <a16:creationId xmlns:a16="http://schemas.microsoft.com/office/drawing/2014/main" id="{00000000-0008-0000-0000-0000A4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169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170</xdr:row>
          <xdr:rowOff>19050</xdr:rowOff>
        </xdr:from>
        <xdr:to>
          <xdr:col>6</xdr:col>
          <xdr:colOff>447675</xdr:colOff>
          <xdr:row>170</xdr:row>
          <xdr:rowOff>266700</xdr:rowOff>
        </xdr:to>
        <xdr:sp macro="" textlink="">
          <xdr:nvSpPr>
            <xdr:cNvPr id="1957" name="Button 202" hidden="1">
              <a:extLst>
                <a:ext uri="{63B3BB69-23CF-44E3-9099-C40C66FF867C}">
                  <a14:compatExt spid="_x0000_s1957"/>
                </a:ext>
                <a:ext uri="{FF2B5EF4-FFF2-40B4-BE49-F238E27FC236}">
                  <a16:creationId xmlns:a16="http://schemas.microsoft.com/office/drawing/2014/main" id="{00000000-0008-0000-0000-0000A5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171</xdr:row>
          <xdr:rowOff>19050</xdr:rowOff>
        </xdr:from>
        <xdr:to>
          <xdr:col>0</xdr:col>
          <xdr:colOff>447675</xdr:colOff>
          <xdr:row>171</xdr:row>
          <xdr:rowOff>266700</xdr:rowOff>
        </xdr:to>
        <xdr:sp macro="" textlink="">
          <xdr:nvSpPr>
            <xdr:cNvPr id="1958" name="Button 201" hidden="1">
              <a:extLst>
                <a:ext uri="{63B3BB69-23CF-44E3-9099-C40C66FF867C}">
                  <a14:compatExt spid="_x0000_s1958"/>
                </a:ext>
                <a:ext uri="{FF2B5EF4-FFF2-40B4-BE49-F238E27FC236}">
                  <a16:creationId xmlns:a16="http://schemas.microsoft.com/office/drawing/2014/main" id="{00000000-0008-0000-0000-0000A6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172</xdr:row>
          <xdr:rowOff>19050</xdr:rowOff>
        </xdr:from>
        <xdr:to>
          <xdr:col>0</xdr:col>
          <xdr:colOff>447675</xdr:colOff>
          <xdr:row>172</xdr:row>
          <xdr:rowOff>266700</xdr:rowOff>
        </xdr:to>
        <xdr:sp macro="" textlink="">
          <xdr:nvSpPr>
            <xdr:cNvPr id="1959" name="Button 202" hidden="1">
              <a:extLst>
                <a:ext uri="{63B3BB69-23CF-44E3-9099-C40C66FF867C}">
                  <a14:compatExt spid="_x0000_s1959"/>
                </a:ext>
                <a:ext uri="{FF2B5EF4-FFF2-40B4-BE49-F238E27FC236}">
                  <a16:creationId xmlns:a16="http://schemas.microsoft.com/office/drawing/2014/main" id="{00000000-0008-0000-0000-0000A7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172</a:t>
              </a:r>
            </a:p>
            <a:p>
              <a:pPr algn="ctr" rtl="0">
                <a:defRPr sz="1000"/>
              </a:pPr>
              <a:r>
                <a:rPr lang="it-IT" sz="1100" b="1" i="0" u="none" strike="noStrike" baseline="0">
                  <a:solidFill>
                    <a:srgbClr val="000000"/>
                  </a:solidFill>
                  <a:latin typeface="Calibri"/>
                  <a:cs typeface="Calibri"/>
                </a:rPr>
                <a:t>160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171</xdr:row>
          <xdr:rowOff>19050</xdr:rowOff>
        </xdr:from>
        <xdr:to>
          <xdr:col>16</xdr:col>
          <xdr:colOff>447675</xdr:colOff>
          <xdr:row>171</xdr:row>
          <xdr:rowOff>266700</xdr:rowOff>
        </xdr:to>
        <xdr:sp macro="" textlink="">
          <xdr:nvSpPr>
            <xdr:cNvPr id="1960" name="Button 357" hidden="1">
              <a:extLst>
                <a:ext uri="{63B3BB69-23CF-44E3-9099-C40C66FF867C}">
                  <a14:compatExt spid="_x0000_s1960"/>
                </a:ext>
                <a:ext uri="{FF2B5EF4-FFF2-40B4-BE49-F238E27FC236}">
                  <a16:creationId xmlns:a16="http://schemas.microsoft.com/office/drawing/2014/main" id="{00000000-0008-0000-0000-0000A8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172</xdr:row>
          <xdr:rowOff>19050</xdr:rowOff>
        </xdr:from>
        <xdr:to>
          <xdr:col>16</xdr:col>
          <xdr:colOff>447675</xdr:colOff>
          <xdr:row>172</xdr:row>
          <xdr:rowOff>266700</xdr:rowOff>
        </xdr:to>
        <xdr:sp macro="" textlink="">
          <xdr:nvSpPr>
            <xdr:cNvPr id="1961" name="Button 358" hidden="1">
              <a:extLst>
                <a:ext uri="{63B3BB69-23CF-44E3-9099-C40C66FF867C}">
                  <a14:compatExt spid="_x0000_s1961"/>
                </a:ext>
                <a:ext uri="{FF2B5EF4-FFF2-40B4-BE49-F238E27FC236}">
                  <a16:creationId xmlns:a16="http://schemas.microsoft.com/office/drawing/2014/main" id="{00000000-0008-0000-0000-0000A9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171</xdr:row>
          <xdr:rowOff>19050</xdr:rowOff>
        </xdr:from>
        <xdr:to>
          <xdr:col>6</xdr:col>
          <xdr:colOff>447675</xdr:colOff>
          <xdr:row>171</xdr:row>
          <xdr:rowOff>266700</xdr:rowOff>
        </xdr:to>
        <xdr:sp macro="" textlink="">
          <xdr:nvSpPr>
            <xdr:cNvPr id="1962" name="Button 201" hidden="1">
              <a:extLst>
                <a:ext uri="{63B3BB69-23CF-44E3-9099-C40C66FF867C}">
                  <a14:compatExt spid="_x0000_s1962"/>
                </a:ext>
                <a:ext uri="{FF2B5EF4-FFF2-40B4-BE49-F238E27FC236}">
                  <a16:creationId xmlns:a16="http://schemas.microsoft.com/office/drawing/2014/main" id="{00000000-0008-0000-0000-0000AA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172</xdr:row>
          <xdr:rowOff>19050</xdr:rowOff>
        </xdr:from>
        <xdr:to>
          <xdr:col>6</xdr:col>
          <xdr:colOff>447675</xdr:colOff>
          <xdr:row>172</xdr:row>
          <xdr:rowOff>266700</xdr:rowOff>
        </xdr:to>
        <xdr:sp macro="" textlink="">
          <xdr:nvSpPr>
            <xdr:cNvPr id="1963" name="Button 202" hidden="1">
              <a:extLst>
                <a:ext uri="{63B3BB69-23CF-44E3-9099-C40C66FF867C}">
                  <a14:compatExt spid="_x0000_s1963"/>
                </a:ext>
                <a:ext uri="{FF2B5EF4-FFF2-40B4-BE49-F238E27FC236}">
                  <a16:creationId xmlns:a16="http://schemas.microsoft.com/office/drawing/2014/main" id="{00000000-0008-0000-0000-0000AB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173</xdr:row>
          <xdr:rowOff>19050</xdr:rowOff>
        </xdr:from>
        <xdr:to>
          <xdr:col>0</xdr:col>
          <xdr:colOff>447675</xdr:colOff>
          <xdr:row>173</xdr:row>
          <xdr:rowOff>266700</xdr:rowOff>
        </xdr:to>
        <xdr:sp macro="" textlink="">
          <xdr:nvSpPr>
            <xdr:cNvPr id="1964" name="Button 201" hidden="1">
              <a:extLst>
                <a:ext uri="{63B3BB69-23CF-44E3-9099-C40C66FF867C}">
                  <a14:compatExt spid="_x0000_s1964"/>
                </a:ext>
                <a:ext uri="{FF2B5EF4-FFF2-40B4-BE49-F238E27FC236}">
                  <a16:creationId xmlns:a16="http://schemas.microsoft.com/office/drawing/2014/main" id="{00000000-0008-0000-0000-0000AC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174</xdr:row>
          <xdr:rowOff>19050</xdr:rowOff>
        </xdr:from>
        <xdr:to>
          <xdr:col>0</xdr:col>
          <xdr:colOff>447675</xdr:colOff>
          <xdr:row>174</xdr:row>
          <xdr:rowOff>266700</xdr:rowOff>
        </xdr:to>
        <xdr:sp macro="" textlink="">
          <xdr:nvSpPr>
            <xdr:cNvPr id="1965" name="Button 202" hidden="1">
              <a:extLst>
                <a:ext uri="{63B3BB69-23CF-44E3-9099-C40C66FF867C}">
                  <a14:compatExt spid="_x0000_s1965"/>
                </a:ext>
                <a:ext uri="{FF2B5EF4-FFF2-40B4-BE49-F238E27FC236}">
                  <a16:creationId xmlns:a16="http://schemas.microsoft.com/office/drawing/2014/main" id="{00000000-0008-0000-0000-0000AD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173</xdr:row>
          <xdr:rowOff>19050</xdr:rowOff>
        </xdr:from>
        <xdr:to>
          <xdr:col>16</xdr:col>
          <xdr:colOff>447675</xdr:colOff>
          <xdr:row>173</xdr:row>
          <xdr:rowOff>266700</xdr:rowOff>
        </xdr:to>
        <xdr:sp macro="" textlink="">
          <xdr:nvSpPr>
            <xdr:cNvPr id="1966" name="Button 357" hidden="1">
              <a:extLst>
                <a:ext uri="{63B3BB69-23CF-44E3-9099-C40C66FF867C}">
                  <a14:compatExt spid="_x0000_s1966"/>
                </a:ext>
                <a:ext uri="{FF2B5EF4-FFF2-40B4-BE49-F238E27FC236}">
                  <a16:creationId xmlns:a16="http://schemas.microsoft.com/office/drawing/2014/main" id="{00000000-0008-0000-0000-0000AE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174</xdr:row>
          <xdr:rowOff>19050</xdr:rowOff>
        </xdr:from>
        <xdr:to>
          <xdr:col>16</xdr:col>
          <xdr:colOff>447675</xdr:colOff>
          <xdr:row>174</xdr:row>
          <xdr:rowOff>266700</xdr:rowOff>
        </xdr:to>
        <xdr:sp macro="" textlink="">
          <xdr:nvSpPr>
            <xdr:cNvPr id="1967" name="Button 358" hidden="1">
              <a:extLst>
                <a:ext uri="{63B3BB69-23CF-44E3-9099-C40C66FF867C}">
                  <a14:compatExt spid="_x0000_s1967"/>
                </a:ext>
                <a:ext uri="{FF2B5EF4-FFF2-40B4-BE49-F238E27FC236}">
                  <a16:creationId xmlns:a16="http://schemas.microsoft.com/office/drawing/2014/main" id="{00000000-0008-0000-0000-0000AF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173</xdr:row>
          <xdr:rowOff>19050</xdr:rowOff>
        </xdr:from>
        <xdr:to>
          <xdr:col>6</xdr:col>
          <xdr:colOff>447675</xdr:colOff>
          <xdr:row>173</xdr:row>
          <xdr:rowOff>266700</xdr:rowOff>
        </xdr:to>
        <xdr:sp macro="" textlink="">
          <xdr:nvSpPr>
            <xdr:cNvPr id="1968" name="Button 201" hidden="1">
              <a:extLst>
                <a:ext uri="{63B3BB69-23CF-44E3-9099-C40C66FF867C}">
                  <a14:compatExt spid="_x0000_s1968"/>
                </a:ext>
                <a:ext uri="{FF2B5EF4-FFF2-40B4-BE49-F238E27FC236}">
                  <a16:creationId xmlns:a16="http://schemas.microsoft.com/office/drawing/2014/main" id="{00000000-0008-0000-0000-0000B0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174</xdr:row>
          <xdr:rowOff>19050</xdr:rowOff>
        </xdr:from>
        <xdr:to>
          <xdr:col>6</xdr:col>
          <xdr:colOff>447675</xdr:colOff>
          <xdr:row>174</xdr:row>
          <xdr:rowOff>266700</xdr:rowOff>
        </xdr:to>
        <xdr:sp macro="" textlink="">
          <xdr:nvSpPr>
            <xdr:cNvPr id="1969" name="Button 202" hidden="1">
              <a:extLst>
                <a:ext uri="{63B3BB69-23CF-44E3-9099-C40C66FF867C}">
                  <a14:compatExt spid="_x0000_s1969"/>
                </a:ext>
                <a:ext uri="{FF2B5EF4-FFF2-40B4-BE49-F238E27FC236}">
                  <a16:creationId xmlns:a16="http://schemas.microsoft.com/office/drawing/2014/main" id="{00000000-0008-0000-0000-0000B1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175</xdr:row>
          <xdr:rowOff>19050</xdr:rowOff>
        </xdr:from>
        <xdr:to>
          <xdr:col>0</xdr:col>
          <xdr:colOff>447675</xdr:colOff>
          <xdr:row>175</xdr:row>
          <xdr:rowOff>266700</xdr:rowOff>
        </xdr:to>
        <xdr:sp macro="" textlink="">
          <xdr:nvSpPr>
            <xdr:cNvPr id="1970" name="Button 201" hidden="1">
              <a:extLst>
                <a:ext uri="{63B3BB69-23CF-44E3-9099-C40C66FF867C}">
                  <a14:compatExt spid="_x0000_s1970"/>
                </a:ext>
                <a:ext uri="{FF2B5EF4-FFF2-40B4-BE49-F238E27FC236}">
                  <a16:creationId xmlns:a16="http://schemas.microsoft.com/office/drawing/2014/main" id="{00000000-0008-0000-0000-0000B2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176</xdr:row>
          <xdr:rowOff>19050</xdr:rowOff>
        </xdr:from>
        <xdr:to>
          <xdr:col>0</xdr:col>
          <xdr:colOff>447675</xdr:colOff>
          <xdr:row>176</xdr:row>
          <xdr:rowOff>266700</xdr:rowOff>
        </xdr:to>
        <xdr:sp macro="" textlink="">
          <xdr:nvSpPr>
            <xdr:cNvPr id="1971" name="Button 202" hidden="1">
              <a:extLst>
                <a:ext uri="{63B3BB69-23CF-44E3-9099-C40C66FF867C}">
                  <a14:compatExt spid="_x0000_s1971"/>
                </a:ext>
                <a:ext uri="{FF2B5EF4-FFF2-40B4-BE49-F238E27FC236}">
                  <a16:creationId xmlns:a16="http://schemas.microsoft.com/office/drawing/2014/main" id="{00000000-0008-0000-0000-0000B3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175</xdr:row>
          <xdr:rowOff>19050</xdr:rowOff>
        </xdr:from>
        <xdr:to>
          <xdr:col>16</xdr:col>
          <xdr:colOff>447675</xdr:colOff>
          <xdr:row>175</xdr:row>
          <xdr:rowOff>266700</xdr:rowOff>
        </xdr:to>
        <xdr:sp macro="" textlink="">
          <xdr:nvSpPr>
            <xdr:cNvPr id="1972" name="Button 357" hidden="1">
              <a:extLst>
                <a:ext uri="{63B3BB69-23CF-44E3-9099-C40C66FF867C}">
                  <a14:compatExt spid="_x0000_s1972"/>
                </a:ext>
                <a:ext uri="{FF2B5EF4-FFF2-40B4-BE49-F238E27FC236}">
                  <a16:creationId xmlns:a16="http://schemas.microsoft.com/office/drawing/2014/main" id="{00000000-0008-0000-0000-0000B4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176</xdr:row>
          <xdr:rowOff>19050</xdr:rowOff>
        </xdr:from>
        <xdr:to>
          <xdr:col>16</xdr:col>
          <xdr:colOff>447675</xdr:colOff>
          <xdr:row>176</xdr:row>
          <xdr:rowOff>266700</xdr:rowOff>
        </xdr:to>
        <xdr:sp macro="" textlink="">
          <xdr:nvSpPr>
            <xdr:cNvPr id="1973" name="Button 358" hidden="1">
              <a:extLst>
                <a:ext uri="{63B3BB69-23CF-44E3-9099-C40C66FF867C}">
                  <a14:compatExt spid="_x0000_s1973"/>
                </a:ext>
                <a:ext uri="{FF2B5EF4-FFF2-40B4-BE49-F238E27FC236}">
                  <a16:creationId xmlns:a16="http://schemas.microsoft.com/office/drawing/2014/main" id="{00000000-0008-0000-0000-0000B5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175</xdr:row>
          <xdr:rowOff>19050</xdr:rowOff>
        </xdr:from>
        <xdr:to>
          <xdr:col>6</xdr:col>
          <xdr:colOff>447675</xdr:colOff>
          <xdr:row>175</xdr:row>
          <xdr:rowOff>266700</xdr:rowOff>
        </xdr:to>
        <xdr:sp macro="" textlink="">
          <xdr:nvSpPr>
            <xdr:cNvPr id="1974" name="Button 201" hidden="1">
              <a:extLst>
                <a:ext uri="{63B3BB69-23CF-44E3-9099-C40C66FF867C}">
                  <a14:compatExt spid="_x0000_s1974"/>
                </a:ext>
                <a:ext uri="{FF2B5EF4-FFF2-40B4-BE49-F238E27FC236}">
                  <a16:creationId xmlns:a16="http://schemas.microsoft.com/office/drawing/2014/main" id="{00000000-0008-0000-0000-0000B6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176</xdr:row>
          <xdr:rowOff>19050</xdr:rowOff>
        </xdr:from>
        <xdr:to>
          <xdr:col>6</xdr:col>
          <xdr:colOff>447675</xdr:colOff>
          <xdr:row>176</xdr:row>
          <xdr:rowOff>266700</xdr:rowOff>
        </xdr:to>
        <xdr:sp macro="" textlink="">
          <xdr:nvSpPr>
            <xdr:cNvPr id="1975" name="Button 202" hidden="1">
              <a:extLst>
                <a:ext uri="{63B3BB69-23CF-44E3-9099-C40C66FF867C}">
                  <a14:compatExt spid="_x0000_s1975"/>
                </a:ext>
                <a:ext uri="{FF2B5EF4-FFF2-40B4-BE49-F238E27FC236}">
                  <a16:creationId xmlns:a16="http://schemas.microsoft.com/office/drawing/2014/main" id="{00000000-0008-0000-0000-0000B7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177</xdr:row>
          <xdr:rowOff>19050</xdr:rowOff>
        </xdr:from>
        <xdr:to>
          <xdr:col>0</xdr:col>
          <xdr:colOff>447675</xdr:colOff>
          <xdr:row>177</xdr:row>
          <xdr:rowOff>266700</xdr:rowOff>
        </xdr:to>
        <xdr:sp macro="" textlink="">
          <xdr:nvSpPr>
            <xdr:cNvPr id="1976" name="Button 201" hidden="1">
              <a:extLst>
                <a:ext uri="{63B3BB69-23CF-44E3-9099-C40C66FF867C}">
                  <a14:compatExt spid="_x0000_s1976"/>
                </a:ext>
                <a:ext uri="{FF2B5EF4-FFF2-40B4-BE49-F238E27FC236}">
                  <a16:creationId xmlns:a16="http://schemas.microsoft.com/office/drawing/2014/main" id="{00000000-0008-0000-0000-0000B8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178</xdr:row>
          <xdr:rowOff>19050</xdr:rowOff>
        </xdr:from>
        <xdr:to>
          <xdr:col>0</xdr:col>
          <xdr:colOff>447675</xdr:colOff>
          <xdr:row>178</xdr:row>
          <xdr:rowOff>266700</xdr:rowOff>
        </xdr:to>
        <xdr:sp macro="" textlink="">
          <xdr:nvSpPr>
            <xdr:cNvPr id="1977" name="Button 202" hidden="1">
              <a:extLst>
                <a:ext uri="{63B3BB69-23CF-44E3-9099-C40C66FF867C}">
                  <a14:compatExt spid="_x0000_s1977"/>
                </a:ext>
                <a:ext uri="{FF2B5EF4-FFF2-40B4-BE49-F238E27FC236}">
                  <a16:creationId xmlns:a16="http://schemas.microsoft.com/office/drawing/2014/main" id="{00000000-0008-0000-0000-0000B9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178</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177</xdr:row>
          <xdr:rowOff>19050</xdr:rowOff>
        </xdr:from>
        <xdr:to>
          <xdr:col>16</xdr:col>
          <xdr:colOff>447675</xdr:colOff>
          <xdr:row>177</xdr:row>
          <xdr:rowOff>266700</xdr:rowOff>
        </xdr:to>
        <xdr:sp macro="" textlink="">
          <xdr:nvSpPr>
            <xdr:cNvPr id="1978" name="Button 357" hidden="1">
              <a:extLst>
                <a:ext uri="{63B3BB69-23CF-44E3-9099-C40C66FF867C}">
                  <a14:compatExt spid="_x0000_s1978"/>
                </a:ext>
                <a:ext uri="{FF2B5EF4-FFF2-40B4-BE49-F238E27FC236}">
                  <a16:creationId xmlns:a16="http://schemas.microsoft.com/office/drawing/2014/main" id="{00000000-0008-0000-0000-0000BA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178</xdr:row>
          <xdr:rowOff>19050</xdr:rowOff>
        </xdr:from>
        <xdr:to>
          <xdr:col>16</xdr:col>
          <xdr:colOff>447675</xdr:colOff>
          <xdr:row>178</xdr:row>
          <xdr:rowOff>266700</xdr:rowOff>
        </xdr:to>
        <xdr:sp macro="" textlink="">
          <xdr:nvSpPr>
            <xdr:cNvPr id="1979" name="Button 358" hidden="1">
              <a:extLst>
                <a:ext uri="{63B3BB69-23CF-44E3-9099-C40C66FF867C}">
                  <a14:compatExt spid="_x0000_s1979"/>
                </a:ext>
                <a:ext uri="{FF2B5EF4-FFF2-40B4-BE49-F238E27FC236}">
                  <a16:creationId xmlns:a16="http://schemas.microsoft.com/office/drawing/2014/main" id="{00000000-0008-0000-0000-0000BB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177</xdr:row>
          <xdr:rowOff>19050</xdr:rowOff>
        </xdr:from>
        <xdr:to>
          <xdr:col>6</xdr:col>
          <xdr:colOff>447675</xdr:colOff>
          <xdr:row>177</xdr:row>
          <xdr:rowOff>266700</xdr:rowOff>
        </xdr:to>
        <xdr:sp macro="" textlink="">
          <xdr:nvSpPr>
            <xdr:cNvPr id="1980" name="Button 201" hidden="1">
              <a:extLst>
                <a:ext uri="{63B3BB69-23CF-44E3-9099-C40C66FF867C}">
                  <a14:compatExt spid="_x0000_s1980"/>
                </a:ext>
                <a:ext uri="{FF2B5EF4-FFF2-40B4-BE49-F238E27FC236}">
                  <a16:creationId xmlns:a16="http://schemas.microsoft.com/office/drawing/2014/main" id="{00000000-0008-0000-0000-0000BC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178</xdr:row>
          <xdr:rowOff>19050</xdr:rowOff>
        </xdr:from>
        <xdr:to>
          <xdr:col>6</xdr:col>
          <xdr:colOff>447675</xdr:colOff>
          <xdr:row>179</xdr:row>
          <xdr:rowOff>0</xdr:rowOff>
        </xdr:to>
        <xdr:sp macro="" textlink="">
          <xdr:nvSpPr>
            <xdr:cNvPr id="1981" name="Button 202" hidden="1">
              <a:extLst>
                <a:ext uri="{63B3BB69-23CF-44E3-9099-C40C66FF867C}">
                  <a14:compatExt spid="_x0000_s1981"/>
                </a:ext>
                <a:ext uri="{FF2B5EF4-FFF2-40B4-BE49-F238E27FC236}">
                  <a16:creationId xmlns:a16="http://schemas.microsoft.com/office/drawing/2014/main" id="{00000000-0008-0000-0000-0000BD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179</xdr:row>
          <xdr:rowOff>19050</xdr:rowOff>
        </xdr:from>
        <xdr:to>
          <xdr:col>0</xdr:col>
          <xdr:colOff>447675</xdr:colOff>
          <xdr:row>179</xdr:row>
          <xdr:rowOff>266700</xdr:rowOff>
        </xdr:to>
        <xdr:sp macro="" textlink="">
          <xdr:nvSpPr>
            <xdr:cNvPr id="1982" name="Button 201" hidden="1">
              <a:extLst>
                <a:ext uri="{63B3BB69-23CF-44E3-9099-C40C66FF867C}">
                  <a14:compatExt spid="_x0000_s1982"/>
                </a:ext>
                <a:ext uri="{FF2B5EF4-FFF2-40B4-BE49-F238E27FC236}">
                  <a16:creationId xmlns:a16="http://schemas.microsoft.com/office/drawing/2014/main" id="{00000000-0008-0000-0000-0000BE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180</xdr:row>
          <xdr:rowOff>19050</xdr:rowOff>
        </xdr:from>
        <xdr:to>
          <xdr:col>0</xdr:col>
          <xdr:colOff>447675</xdr:colOff>
          <xdr:row>180</xdr:row>
          <xdr:rowOff>266700</xdr:rowOff>
        </xdr:to>
        <xdr:sp macro="" textlink="">
          <xdr:nvSpPr>
            <xdr:cNvPr id="1983" name="Button 202" hidden="1">
              <a:extLst>
                <a:ext uri="{63B3BB69-23CF-44E3-9099-C40C66FF867C}">
                  <a14:compatExt spid="_x0000_s1983"/>
                </a:ext>
                <a:ext uri="{FF2B5EF4-FFF2-40B4-BE49-F238E27FC236}">
                  <a16:creationId xmlns:a16="http://schemas.microsoft.com/office/drawing/2014/main" id="{00000000-0008-0000-0000-0000BF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179</xdr:row>
          <xdr:rowOff>19050</xdr:rowOff>
        </xdr:from>
        <xdr:to>
          <xdr:col>16</xdr:col>
          <xdr:colOff>447675</xdr:colOff>
          <xdr:row>179</xdr:row>
          <xdr:rowOff>266700</xdr:rowOff>
        </xdr:to>
        <xdr:sp macro="" textlink="">
          <xdr:nvSpPr>
            <xdr:cNvPr id="1984" name="Button 357" hidden="1">
              <a:extLst>
                <a:ext uri="{63B3BB69-23CF-44E3-9099-C40C66FF867C}">
                  <a14:compatExt spid="_x0000_s1984"/>
                </a:ext>
                <a:ext uri="{FF2B5EF4-FFF2-40B4-BE49-F238E27FC236}">
                  <a16:creationId xmlns:a16="http://schemas.microsoft.com/office/drawing/2014/main" id="{00000000-0008-0000-0000-0000C0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180</xdr:row>
          <xdr:rowOff>19050</xdr:rowOff>
        </xdr:from>
        <xdr:to>
          <xdr:col>16</xdr:col>
          <xdr:colOff>447675</xdr:colOff>
          <xdr:row>180</xdr:row>
          <xdr:rowOff>266700</xdr:rowOff>
        </xdr:to>
        <xdr:sp macro="" textlink="">
          <xdr:nvSpPr>
            <xdr:cNvPr id="1985" name="Button 358" hidden="1">
              <a:extLst>
                <a:ext uri="{63B3BB69-23CF-44E3-9099-C40C66FF867C}">
                  <a14:compatExt spid="_x0000_s1985"/>
                </a:ext>
                <a:ext uri="{FF2B5EF4-FFF2-40B4-BE49-F238E27FC236}">
                  <a16:creationId xmlns:a16="http://schemas.microsoft.com/office/drawing/2014/main" id="{00000000-0008-0000-0000-0000C1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179</xdr:row>
          <xdr:rowOff>19050</xdr:rowOff>
        </xdr:from>
        <xdr:to>
          <xdr:col>6</xdr:col>
          <xdr:colOff>447675</xdr:colOff>
          <xdr:row>180</xdr:row>
          <xdr:rowOff>0</xdr:rowOff>
        </xdr:to>
        <xdr:sp macro="" textlink="">
          <xdr:nvSpPr>
            <xdr:cNvPr id="1986" name="Button 201" hidden="1">
              <a:extLst>
                <a:ext uri="{63B3BB69-23CF-44E3-9099-C40C66FF867C}">
                  <a14:compatExt spid="_x0000_s1986"/>
                </a:ext>
                <a:ext uri="{FF2B5EF4-FFF2-40B4-BE49-F238E27FC236}">
                  <a16:creationId xmlns:a16="http://schemas.microsoft.com/office/drawing/2014/main" id="{00000000-0008-0000-0000-0000C2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179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180</xdr:row>
          <xdr:rowOff>19050</xdr:rowOff>
        </xdr:from>
        <xdr:to>
          <xdr:col>6</xdr:col>
          <xdr:colOff>447675</xdr:colOff>
          <xdr:row>181</xdr:row>
          <xdr:rowOff>0</xdr:rowOff>
        </xdr:to>
        <xdr:sp macro="" textlink="">
          <xdr:nvSpPr>
            <xdr:cNvPr id="1987" name="Button 202" hidden="1">
              <a:extLst>
                <a:ext uri="{63B3BB69-23CF-44E3-9099-C40C66FF867C}">
                  <a14:compatExt spid="_x0000_s1987"/>
                </a:ext>
                <a:ext uri="{FF2B5EF4-FFF2-40B4-BE49-F238E27FC236}">
                  <a16:creationId xmlns:a16="http://schemas.microsoft.com/office/drawing/2014/main" id="{00000000-0008-0000-0000-0000C3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181</xdr:row>
          <xdr:rowOff>19050</xdr:rowOff>
        </xdr:from>
        <xdr:to>
          <xdr:col>0</xdr:col>
          <xdr:colOff>447675</xdr:colOff>
          <xdr:row>181</xdr:row>
          <xdr:rowOff>266700</xdr:rowOff>
        </xdr:to>
        <xdr:sp macro="" textlink="">
          <xdr:nvSpPr>
            <xdr:cNvPr id="1988" name="Button 201" hidden="1">
              <a:extLst>
                <a:ext uri="{63B3BB69-23CF-44E3-9099-C40C66FF867C}">
                  <a14:compatExt spid="_x0000_s1988"/>
                </a:ext>
                <a:ext uri="{FF2B5EF4-FFF2-40B4-BE49-F238E27FC236}">
                  <a16:creationId xmlns:a16="http://schemas.microsoft.com/office/drawing/2014/main" id="{00000000-0008-0000-0000-0000C4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182</xdr:row>
          <xdr:rowOff>19050</xdr:rowOff>
        </xdr:from>
        <xdr:to>
          <xdr:col>0</xdr:col>
          <xdr:colOff>447675</xdr:colOff>
          <xdr:row>182</xdr:row>
          <xdr:rowOff>266700</xdr:rowOff>
        </xdr:to>
        <xdr:sp macro="" textlink="">
          <xdr:nvSpPr>
            <xdr:cNvPr id="1989" name="Button 202" hidden="1">
              <a:extLst>
                <a:ext uri="{63B3BB69-23CF-44E3-9099-C40C66FF867C}">
                  <a14:compatExt spid="_x0000_s1989"/>
                </a:ext>
                <a:ext uri="{FF2B5EF4-FFF2-40B4-BE49-F238E27FC236}">
                  <a16:creationId xmlns:a16="http://schemas.microsoft.com/office/drawing/2014/main" id="{00000000-0008-0000-0000-0000C5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181</xdr:row>
          <xdr:rowOff>19050</xdr:rowOff>
        </xdr:from>
        <xdr:to>
          <xdr:col>16</xdr:col>
          <xdr:colOff>447675</xdr:colOff>
          <xdr:row>181</xdr:row>
          <xdr:rowOff>266700</xdr:rowOff>
        </xdr:to>
        <xdr:sp macro="" textlink="">
          <xdr:nvSpPr>
            <xdr:cNvPr id="1990" name="Button 357" hidden="1">
              <a:extLst>
                <a:ext uri="{63B3BB69-23CF-44E3-9099-C40C66FF867C}">
                  <a14:compatExt spid="_x0000_s1990"/>
                </a:ext>
                <a:ext uri="{FF2B5EF4-FFF2-40B4-BE49-F238E27FC236}">
                  <a16:creationId xmlns:a16="http://schemas.microsoft.com/office/drawing/2014/main" id="{00000000-0008-0000-0000-0000C6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182</xdr:row>
          <xdr:rowOff>19050</xdr:rowOff>
        </xdr:from>
        <xdr:to>
          <xdr:col>16</xdr:col>
          <xdr:colOff>447675</xdr:colOff>
          <xdr:row>182</xdr:row>
          <xdr:rowOff>266700</xdr:rowOff>
        </xdr:to>
        <xdr:sp macro="" textlink="">
          <xdr:nvSpPr>
            <xdr:cNvPr id="1991" name="Button 358" hidden="1">
              <a:extLst>
                <a:ext uri="{63B3BB69-23CF-44E3-9099-C40C66FF867C}">
                  <a14:compatExt spid="_x0000_s1991"/>
                </a:ext>
                <a:ext uri="{FF2B5EF4-FFF2-40B4-BE49-F238E27FC236}">
                  <a16:creationId xmlns:a16="http://schemas.microsoft.com/office/drawing/2014/main" id="{00000000-0008-0000-0000-0000C7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181</xdr:row>
          <xdr:rowOff>19050</xdr:rowOff>
        </xdr:from>
        <xdr:to>
          <xdr:col>6</xdr:col>
          <xdr:colOff>447675</xdr:colOff>
          <xdr:row>182</xdr:row>
          <xdr:rowOff>0</xdr:rowOff>
        </xdr:to>
        <xdr:sp macro="" textlink="">
          <xdr:nvSpPr>
            <xdr:cNvPr id="1992" name="Button 201" hidden="1">
              <a:extLst>
                <a:ext uri="{63B3BB69-23CF-44E3-9099-C40C66FF867C}">
                  <a14:compatExt spid="_x0000_s1992"/>
                </a:ext>
                <a:ext uri="{FF2B5EF4-FFF2-40B4-BE49-F238E27FC236}">
                  <a16:creationId xmlns:a16="http://schemas.microsoft.com/office/drawing/2014/main" id="{00000000-0008-0000-0000-0000C8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182</xdr:row>
          <xdr:rowOff>19050</xdr:rowOff>
        </xdr:from>
        <xdr:to>
          <xdr:col>6</xdr:col>
          <xdr:colOff>447675</xdr:colOff>
          <xdr:row>183</xdr:row>
          <xdr:rowOff>0</xdr:rowOff>
        </xdr:to>
        <xdr:sp macro="" textlink="">
          <xdr:nvSpPr>
            <xdr:cNvPr id="1993" name="Button 202" hidden="1">
              <a:extLst>
                <a:ext uri="{63B3BB69-23CF-44E3-9099-C40C66FF867C}">
                  <a14:compatExt spid="_x0000_s1993"/>
                </a:ext>
                <a:ext uri="{FF2B5EF4-FFF2-40B4-BE49-F238E27FC236}">
                  <a16:creationId xmlns:a16="http://schemas.microsoft.com/office/drawing/2014/main" id="{00000000-0008-0000-0000-0000C9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183</xdr:row>
          <xdr:rowOff>19050</xdr:rowOff>
        </xdr:from>
        <xdr:to>
          <xdr:col>0</xdr:col>
          <xdr:colOff>447675</xdr:colOff>
          <xdr:row>183</xdr:row>
          <xdr:rowOff>266700</xdr:rowOff>
        </xdr:to>
        <xdr:sp macro="" textlink="">
          <xdr:nvSpPr>
            <xdr:cNvPr id="1994" name="Button 201" hidden="1">
              <a:extLst>
                <a:ext uri="{63B3BB69-23CF-44E3-9099-C40C66FF867C}">
                  <a14:compatExt spid="_x0000_s1994"/>
                </a:ext>
                <a:ext uri="{FF2B5EF4-FFF2-40B4-BE49-F238E27FC236}">
                  <a16:creationId xmlns:a16="http://schemas.microsoft.com/office/drawing/2014/main" id="{00000000-0008-0000-0000-0000CA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184</xdr:row>
          <xdr:rowOff>19050</xdr:rowOff>
        </xdr:from>
        <xdr:to>
          <xdr:col>0</xdr:col>
          <xdr:colOff>447675</xdr:colOff>
          <xdr:row>184</xdr:row>
          <xdr:rowOff>266700</xdr:rowOff>
        </xdr:to>
        <xdr:sp macro="" textlink="">
          <xdr:nvSpPr>
            <xdr:cNvPr id="1995" name="Button 202" hidden="1">
              <a:extLst>
                <a:ext uri="{63B3BB69-23CF-44E3-9099-C40C66FF867C}">
                  <a14:compatExt spid="_x0000_s1995"/>
                </a:ext>
                <a:ext uri="{FF2B5EF4-FFF2-40B4-BE49-F238E27FC236}">
                  <a16:creationId xmlns:a16="http://schemas.microsoft.com/office/drawing/2014/main" id="{00000000-0008-0000-0000-0000CB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183</xdr:row>
          <xdr:rowOff>19050</xdr:rowOff>
        </xdr:from>
        <xdr:to>
          <xdr:col>16</xdr:col>
          <xdr:colOff>447675</xdr:colOff>
          <xdr:row>183</xdr:row>
          <xdr:rowOff>266700</xdr:rowOff>
        </xdr:to>
        <xdr:sp macro="" textlink="">
          <xdr:nvSpPr>
            <xdr:cNvPr id="1996" name="Button 357" hidden="1">
              <a:extLst>
                <a:ext uri="{63B3BB69-23CF-44E3-9099-C40C66FF867C}">
                  <a14:compatExt spid="_x0000_s1996"/>
                </a:ext>
                <a:ext uri="{FF2B5EF4-FFF2-40B4-BE49-F238E27FC236}">
                  <a16:creationId xmlns:a16="http://schemas.microsoft.com/office/drawing/2014/main" id="{00000000-0008-0000-0000-0000CC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184</xdr:row>
          <xdr:rowOff>19050</xdr:rowOff>
        </xdr:from>
        <xdr:to>
          <xdr:col>16</xdr:col>
          <xdr:colOff>447675</xdr:colOff>
          <xdr:row>184</xdr:row>
          <xdr:rowOff>266700</xdr:rowOff>
        </xdr:to>
        <xdr:sp macro="" textlink="">
          <xdr:nvSpPr>
            <xdr:cNvPr id="1997" name="Button 358" hidden="1">
              <a:extLst>
                <a:ext uri="{63B3BB69-23CF-44E3-9099-C40C66FF867C}">
                  <a14:compatExt spid="_x0000_s1997"/>
                </a:ext>
                <a:ext uri="{FF2B5EF4-FFF2-40B4-BE49-F238E27FC236}">
                  <a16:creationId xmlns:a16="http://schemas.microsoft.com/office/drawing/2014/main" id="{00000000-0008-0000-0000-0000CD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183</xdr:row>
          <xdr:rowOff>19050</xdr:rowOff>
        </xdr:from>
        <xdr:to>
          <xdr:col>6</xdr:col>
          <xdr:colOff>447675</xdr:colOff>
          <xdr:row>184</xdr:row>
          <xdr:rowOff>0</xdr:rowOff>
        </xdr:to>
        <xdr:sp macro="" textlink="">
          <xdr:nvSpPr>
            <xdr:cNvPr id="1998" name="Button 201" hidden="1">
              <a:extLst>
                <a:ext uri="{63B3BB69-23CF-44E3-9099-C40C66FF867C}">
                  <a14:compatExt spid="_x0000_s1998"/>
                </a:ext>
                <a:ext uri="{FF2B5EF4-FFF2-40B4-BE49-F238E27FC236}">
                  <a16:creationId xmlns:a16="http://schemas.microsoft.com/office/drawing/2014/main" id="{00000000-0008-0000-0000-0000CE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184</xdr:row>
          <xdr:rowOff>19050</xdr:rowOff>
        </xdr:from>
        <xdr:to>
          <xdr:col>6</xdr:col>
          <xdr:colOff>447675</xdr:colOff>
          <xdr:row>185</xdr:row>
          <xdr:rowOff>0</xdr:rowOff>
        </xdr:to>
        <xdr:sp macro="" textlink="">
          <xdr:nvSpPr>
            <xdr:cNvPr id="1999" name="Button 202" hidden="1">
              <a:extLst>
                <a:ext uri="{63B3BB69-23CF-44E3-9099-C40C66FF867C}">
                  <a14:compatExt spid="_x0000_s1999"/>
                </a:ext>
                <a:ext uri="{FF2B5EF4-FFF2-40B4-BE49-F238E27FC236}">
                  <a16:creationId xmlns:a16="http://schemas.microsoft.com/office/drawing/2014/main" id="{00000000-0008-0000-0000-0000CF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185</xdr:row>
          <xdr:rowOff>19050</xdr:rowOff>
        </xdr:from>
        <xdr:to>
          <xdr:col>0</xdr:col>
          <xdr:colOff>447675</xdr:colOff>
          <xdr:row>185</xdr:row>
          <xdr:rowOff>266700</xdr:rowOff>
        </xdr:to>
        <xdr:sp macro="" textlink="">
          <xdr:nvSpPr>
            <xdr:cNvPr id="2000" name="Button 201" hidden="1">
              <a:extLst>
                <a:ext uri="{63B3BB69-23CF-44E3-9099-C40C66FF867C}">
                  <a14:compatExt spid="_x0000_s2000"/>
                </a:ext>
                <a:ext uri="{FF2B5EF4-FFF2-40B4-BE49-F238E27FC236}">
                  <a16:creationId xmlns:a16="http://schemas.microsoft.com/office/drawing/2014/main" id="{00000000-0008-0000-0000-0000D0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186</xdr:row>
          <xdr:rowOff>19050</xdr:rowOff>
        </xdr:from>
        <xdr:to>
          <xdr:col>0</xdr:col>
          <xdr:colOff>447675</xdr:colOff>
          <xdr:row>186</xdr:row>
          <xdr:rowOff>266700</xdr:rowOff>
        </xdr:to>
        <xdr:sp macro="" textlink="">
          <xdr:nvSpPr>
            <xdr:cNvPr id="2001" name="Button 202" hidden="1">
              <a:extLst>
                <a:ext uri="{63B3BB69-23CF-44E3-9099-C40C66FF867C}">
                  <a14:compatExt spid="_x0000_s2001"/>
                </a:ext>
                <a:ext uri="{FF2B5EF4-FFF2-40B4-BE49-F238E27FC236}">
                  <a16:creationId xmlns:a16="http://schemas.microsoft.com/office/drawing/2014/main" id="{00000000-0008-0000-0000-0000D1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185</xdr:row>
          <xdr:rowOff>19050</xdr:rowOff>
        </xdr:from>
        <xdr:to>
          <xdr:col>16</xdr:col>
          <xdr:colOff>447675</xdr:colOff>
          <xdr:row>185</xdr:row>
          <xdr:rowOff>266700</xdr:rowOff>
        </xdr:to>
        <xdr:sp macro="" textlink="">
          <xdr:nvSpPr>
            <xdr:cNvPr id="2002" name="Button 357" hidden="1">
              <a:extLst>
                <a:ext uri="{63B3BB69-23CF-44E3-9099-C40C66FF867C}">
                  <a14:compatExt spid="_x0000_s2002"/>
                </a:ext>
                <a:ext uri="{FF2B5EF4-FFF2-40B4-BE49-F238E27FC236}">
                  <a16:creationId xmlns:a16="http://schemas.microsoft.com/office/drawing/2014/main" id="{00000000-0008-0000-0000-0000D2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186</xdr:row>
          <xdr:rowOff>19050</xdr:rowOff>
        </xdr:from>
        <xdr:to>
          <xdr:col>16</xdr:col>
          <xdr:colOff>447675</xdr:colOff>
          <xdr:row>186</xdr:row>
          <xdr:rowOff>266700</xdr:rowOff>
        </xdr:to>
        <xdr:sp macro="" textlink="">
          <xdr:nvSpPr>
            <xdr:cNvPr id="2003" name="Button 358" hidden="1">
              <a:extLst>
                <a:ext uri="{63B3BB69-23CF-44E3-9099-C40C66FF867C}">
                  <a14:compatExt spid="_x0000_s2003"/>
                </a:ext>
                <a:ext uri="{FF2B5EF4-FFF2-40B4-BE49-F238E27FC236}">
                  <a16:creationId xmlns:a16="http://schemas.microsoft.com/office/drawing/2014/main" id="{00000000-0008-0000-0000-0000D3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185</xdr:row>
          <xdr:rowOff>19050</xdr:rowOff>
        </xdr:from>
        <xdr:to>
          <xdr:col>6</xdr:col>
          <xdr:colOff>447675</xdr:colOff>
          <xdr:row>186</xdr:row>
          <xdr:rowOff>0</xdr:rowOff>
        </xdr:to>
        <xdr:sp macro="" textlink="">
          <xdr:nvSpPr>
            <xdr:cNvPr id="2004" name="Button 201" hidden="1">
              <a:extLst>
                <a:ext uri="{63B3BB69-23CF-44E3-9099-C40C66FF867C}">
                  <a14:compatExt spid="_x0000_s2004"/>
                </a:ext>
                <a:ext uri="{FF2B5EF4-FFF2-40B4-BE49-F238E27FC236}">
                  <a16:creationId xmlns:a16="http://schemas.microsoft.com/office/drawing/2014/main" id="{00000000-0008-0000-0000-0000D4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186</xdr:row>
          <xdr:rowOff>19050</xdr:rowOff>
        </xdr:from>
        <xdr:to>
          <xdr:col>6</xdr:col>
          <xdr:colOff>447675</xdr:colOff>
          <xdr:row>186</xdr:row>
          <xdr:rowOff>266700</xdr:rowOff>
        </xdr:to>
        <xdr:sp macro="" textlink="">
          <xdr:nvSpPr>
            <xdr:cNvPr id="2005" name="Button 202" hidden="1">
              <a:extLst>
                <a:ext uri="{63B3BB69-23CF-44E3-9099-C40C66FF867C}">
                  <a14:compatExt spid="_x0000_s2005"/>
                </a:ext>
                <a:ext uri="{FF2B5EF4-FFF2-40B4-BE49-F238E27FC236}">
                  <a16:creationId xmlns:a16="http://schemas.microsoft.com/office/drawing/2014/main" id="{00000000-0008-0000-0000-0000D5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187</xdr:row>
          <xdr:rowOff>19050</xdr:rowOff>
        </xdr:from>
        <xdr:to>
          <xdr:col>0</xdr:col>
          <xdr:colOff>447675</xdr:colOff>
          <xdr:row>187</xdr:row>
          <xdr:rowOff>266700</xdr:rowOff>
        </xdr:to>
        <xdr:sp macro="" textlink="">
          <xdr:nvSpPr>
            <xdr:cNvPr id="2006" name="Button 201" hidden="1">
              <a:extLst>
                <a:ext uri="{63B3BB69-23CF-44E3-9099-C40C66FF867C}">
                  <a14:compatExt spid="_x0000_s2006"/>
                </a:ext>
                <a:ext uri="{FF2B5EF4-FFF2-40B4-BE49-F238E27FC236}">
                  <a16:creationId xmlns:a16="http://schemas.microsoft.com/office/drawing/2014/main" id="{00000000-0008-0000-0000-0000D6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188</xdr:row>
          <xdr:rowOff>19050</xdr:rowOff>
        </xdr:from>
        <xdr:to>
          <xdr:col>0</xdr:col>
          <xdr:colOff>447675</xdr:colOff>
          <xdr:row>188</xdr:row>
          <xdr:rowOff>266700</xdr:rowOff>
        </xdr:to>
        <xdr:sp macro="" textlink="">
          <xdr:nvSpPr>
            <xdr:cNvPr id="2007" name="Button 202" hidden="1">
              <a:extLst>
                <a:ext uri="{63B3BB69-23CF-44E3-9099-C40C66FF867C}">
                  <a14:compatExt spid="_x0000_s2007"/>
                </a:ext>
                <a:ext uri="{FF2B5EF4-FFF2-40B4-BE49-F238E27FC236}">
                  <a16:creationId xmlns:a16="http://schemas.microsoft.com/office/drawing/2014/main" id="{00000000-0008-0000-0000-0000D7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187</xdr:row>
          <xdr:rowOff>19050</xdr:rowOff>
        </xdr:from>
        <xdr:to>
          <xdr:col>16</xdr:col>
          <xdr:colOff>447675</xdr:colOff>
          <xdr:row>187</xdr:row>
          <xdr:rowOff>266700</xdr:rowOff>
        </xdr:to>
        <xdr:sp macro="" textlink="">
          <xdr:nvSpPr>
            <xdr:cNvPr id="2008" name="Button 357" hidden="1">
              <a:extLst>
                <a:ext uri="{63B3BB69-23CF-44E3-9099-C40C66FF867C}">
                  <a14:compatExt spid="_x0000_s2008"/>
                </a:ext>
                <a:ext uri="{FF2B5EF4-FFF2-40B4-BE49-F238E27FC236}">
                  <a16:creationId xmlns:a16="http://schemas.microsoft.com/office/drawing/2014/main" id="{00000000-0008-0000-0000-0000D8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188</xdr:row>
          <xdr:rowOff>19050</xdr:rowOff>
        </xdr:from>
        <xdr:to>
          <xdr:col>16</xdr:col>
          <xdr:colOff>447675</xdr:colOff>
          <xdr:row>188</xdr:row>
          <xdr:rowOff>266700</xdr:rowOff>
        </xdr:to>
        <xdr:sp macro="" textlink="">
          <xdr:nvSpPr>
            <xdr:cNvPr id="2009" name="Button 358" hidden="1">
              <a:extLst>
                <a:ext uri="{63B3BB69-23CF-44E3-9099-C40C66FF867C}">
                  <a14:compatExt spid="_x0000_s2009"/>
                </a:ext>
                <a:ext uri="{FF2B5EF4-FFF2-40B4-BE49-F238E27FC236}">
                  <a16:creationId xmlns:a16="http://schemas.microsoft.com/office/drawing/2014/main" id="{00000000-0008-0000-0000-0000D9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187</xdr:row>
          <xdr:rowOff>19050</xdr:rowOff>
        </xdr:from>
        <xdr:to>
          <xdr:col>6</xdr:col>
          <xdr:colOff>447675</xdr:colOff>
          <xdr:row>187</xdr:row>
          <xdr:rowOff>266700</xdr:rowOff>
        </xdr:to>
        <xdr:sp macro="" textlink="">
          <xdr:nvSpPr>
            <xdr:cNvPr id="2010" name="Button 201" hidden="1">
              <a:extLst>
                <a:ext uri="{63B3BB69-23CF-44E3-9099-C40C66FF867C}">
                  <a14:compatExt spid="_x0000_s2010"/>
                </a:ext>
                <a:ext uri="{FF2B5EF4-FFF2-40B4-BE49-F238E27FC236}">
                  <a16:creationId xmlns:a16="http://schemas.microsoft.com/office/drawing/2014/main" id="{00000000-0008-0000-0000-0000DA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188</xdr:row>
          <xdr:rowOff>19050</xdr:rowOff>
        </xdr:from>
        <xdr:to>
          <xdr:col>6</xdr:col>
          <xdr:colOff>447675</xdr:colOff>
          <xdr:row>188</xdr:row>
          <xdr:rowOff>266700</xdr:rowOff>
        </xdr:to>
        <xdr:sp macro="" textlink="">
          <xdr:nvSpPr>
            <xdr:cNvPr id="2011" name="Button 202" hidden="1">
              <a:extLst>
                <a:ext uri="{63B3BB69-23CF-44E3-9099-C40C66FF867C}">
                  <a14:compatExt spid="_x0000_s2011"/>
                </a:ext>
                <a:ext uri="{FF2B5EF4-FFF2-40B4-BE49-F238E27FC236}">
                  <a16:creationId xmlns:a16="http://schemas.microsoft.com/office/drawing/2014/main" id="{00000000-0008-0000-0000-0000DB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189</xdr:row>
          <xdr:rowOff>19050</xdr:rowOff>
        </xdr:from>
        <xdr:to>
          <xdr:col>0</xdr:col>
          <xdr:colOff>447675</xdr:colOff>
          <xdr:row>189</xdr:row>
          <xdr:rowOff>266700</xdr:rowOff>
        </xdr:to>
        <xdr:sp macro="" textlink="">
          <xdr:nvSpPr>
            <xdr:cNvPr id="2012" name="Button 201" hidden="1">
              <a:extLst>
                <a:ext uri="{63B3BB69-23CF-44E3-9099-C40C66FF867C}">
                  <a14:compatExt spid="_x0000_s2012"/>
                </a:ext>
                <a:ext uri="{FF2B5EF4-FFF2-40B4-BE49-F238E27FC236}">
                  <a16:creationId xmlns:a16="http://schemas.microsoft.com/office/drawing/2014/main" id="{00000000-0008-0000-0000-0000DC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190</xdr:row>
          <xdr:rowOff>19050</xdr:rowOff>
        </xdr:from>
        <xdr:to>
          <xdr:col>0</xdr:col>
          <xdr:colOff>447675</xdr:colOff>
          <xdr:row>190</xdr:row>
          <xdr:rowOff>266700</xdr:rowOff>
        </xdr:to>
        <xdr:sp macro="" textlink="">
          <xdr:nvSpPr>
            <xdr:cNvPr id="2013" name="Button 202" hidden="1">
              <a:extLst>
                <a:ext uri="{63B3BB69-23CF-44E3-9099-C40C66FF867C}">
                  <a14:compatExt spid="_x0000_s2013"/>
                </a:ext>
                <a:ext uri="{FF2B5EF4-FFF2-40B4-BE49-F238E27FC236}">
                  <a16:creationId xmlns:a16="http://schemas.microsoft.com/office/drawing/2014/main" id="{00000000-0008-0000-0000-0000DD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189</xdr:row>
          <xdr:rowOff>19050</xdr:rowOff>
        </xdr:from>
        <xdr:to>
          <xdr:col>16</xdr:col>
          <xdr:colOff>447675</xdr:colOff>
          <xdr:row>189</xdr:row>
          <xdr:rowOff>266700</xdr:rowOff>
        </xdr:to>
        <xdr:sp macro="" textlink="">
          <xdr:nvSpPr>
            <xdr:cNvPr id="2014" name="Button 357" hidden="1">
              <a:extLst>
                <a:ext uri="{63B3BB69-23CF-44E3-9099-C40C66FF867C}">
                  <a14:compatExt spid="_x0000_s2014"/>
                </a:ext>
                <a:ext uri="{FF2B5EF4-FFF2-40B4-BE49-F238E27FC236}">
                  <a16:creationId xmlns:a16="http://schemas.microsoft.com/office/drawing/2014/main" id="{00000000-0008-0000-0000-0000DE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190</xdr:row>
          <xdr:rowOff>19050</xdr:rowOff>
        </xdr:from>
        <xdr:to>
          <xdr:col>16</xdr:col>
          <xdr:colOff>447675</xdr:colOff>
          <xdr:row>190</xdr:row>
          <xdr:rowOff>266700</xdr:rowOff>
        </xdr:to>
        <xdr:sp macro="" textlink="">
          <xdr:nvSpPr>
            <xdr:cNvPr id="2015" name="Button 358" hidden="1">
              <a:extLst>
                <a:ext uri="{63B3BB69-23CF-44E3-9099-C40C66FF867C}">
                  <a14:compatExt spid="_x0000_s2015"/>
                </a:ext>
                <a:ext uri="{FF2B5EF4-FFF2-40B4-BE49-F238E27FC236}">
                  <a16:creationId xmlns:a16="http://schemas.microsoft.com/office/drawing/2014/main" id="{00000000-0008-0000-0000-0000DF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189</xdr:row>
          <xdr:rowOff>19050</xdr:rowOff>
        </xdr:from>
        <xdr:to>
          <xdr:col>6</xdr:col>
          <xdr:colOff>447675</xdr:colOff>
          <xdr:row>189</xdr:row>
          <xdr:rowOff>266700</xdr:rowOff>
        </xdr:to>
        <xdr:sp macro="" textlink="">
          <xdr:nvSpPr>
            <xdr:cNvPr id="2016" name="Button 201" hidden="1">
              <a:extLst>
                <a:ext uri="{63B3BB69-23CF-44E3-9099-C40C66FF867C}">
                  <a14:compatExt spid="_x0000_s2016"/>
                </a:ext>
                <a:ext uri="{FF2B5EF4-FFF2-40B4-BE49-F238E27FC236}">
                  <a16:creationId xmlns:a16="http://schemas.microsoft.com/office/drawing/2014/main" id="{00000000-0008-0000-0000-0000E0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189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190</xdr:row>
          <xdr:rowOff>19050</xdr:rowOff>
        </xdr:from>
        <xdr:to>
          <xdr:col>6</xdr:col>
          <xdr:colOff>447675</xdr:colOff>
          <xdr:row>190</xdr:row>
          <xdr:rowOff>266700</xdr:rowOff>
        </xdr:to>
        <xdr:sp macro="" textlink="">
          <xdr:nvSpPr>
            <xdr:cNvPr id="2017" name="Button 202" hidden="1">
              <a:extLst>
                <a:ext uri="{63B3BB69-23CF-44E3-9099-C40C66FF867C}">
                  <a14:compatExt spid="_x0000_s2017"/>
                </a:ext>
                <a:ext uri="{FF2B5EF4-FFF2-40B4-BE49-F238E27FC236}">
                  <a16:creationId xmlns:a16="http://schemas.microsoft.com/office/drawing/2014/main" id="{00000000-0008-0000-0000-0000E1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191</xdr:row>
          <xdr:rowOff>19050</xdr:rowOff>
        </xdr:from>
        <xdr:to>
          <xdr:col>0</xdr:col>
          <xdr:colOff>447675</xdr:colOff>
          <xdr:row>191</xdr:row>
          <xdr:rowOff>266700</xdr:rowOff>
        </xdr:to>
        <xdr:sp macro="" textlink="">
          <xdr:nvSpPr>
            <xdr:cNvPr id="2018" name="Button 201" hidden="1">
              <a:extLst>
                <a:ext uri="{63B3BB69-23CF-44E3-9099-C40C66FF867C}">
                  <a14:compatExt spid="_x0000_s2018"/>
                </a:ext>
                <a:ext uri="{FF2B5EF4-FFF2-40B4-BE49-F238E27FC236}">
                  <a16:creationId xmlns:a16="http://schemas.microsoft.com/office/drawing/2014/main" id="{00000000-0008-0000-0000-0000E2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192</xdr:row>
          <xdr:rowOff>19050</xdr:rowOff>
        </xdr:from>
        <xdr:to>
          <xdr:col>0</xdr:col>
          <xdr:colOff>447675</xdr:colOff>
          <xdr:row>192</xdr:row>
          <xdr:rowOff>266700</xdr:rowOff>
        </xdr:to>
        <xdr:sp macro="" textlink="">
          <xdr:nvSpPr>
            <xdr:cNvPr id="2019" name="Button 202" hidden="1">
              <a:extLst>
                <a:ext uri="{63B3BB69-23CF-44E3-9099-C40C66FF867C}">
                  <a14:compatExt spid="_x0000_s2019"/>
                </a:ext>
                <a:ext uri="{FF2B5EF4-FFF2-40B4-BE49-F238E27FC236}">
                  <a16:creationId xmlns:a16="http://schemas.microsoft.com/office/drawing/2014/main" id="{00000000-0008-0000-0000-0000E3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191</xdr:row>
          <xdr:rowOff>19050</xdr:rowOff>
        </xdr:from>
        <xdr:to>
          <xdr:col>16</xdr:col>
          <xdr:colOff>447675</xdr:colOff>
          <xdr:row>191</xdr:row>
          <xdr:rowOff>266700</xdr:rowOff>
        </xdr:to>
        <xdr:sp macro="" textlink="">
          <xdr:nvSpPr>
            <xdr:cNvPr id="2020" name="Button 357" hidden="1">
              <a:extLst>
                <a:ext uri="{63B3BB69-23CF-44E3-9099-C40C66FF867C}">
                  <a14:compatExt spid="_x0000_s2020"/>
                </a:ext>
                <a:ext uri="{FF2B5EF4-FFF2-40B4-BE49-F238E27FC236}">
                  <a16:creationId xmlns:a16="http://schemas.microsoft.com/office/drawing/2014/main" id="{00000000-0008-0000-0000-0000E4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192</xdr:row>
          <xdr:rowOff>19050</xdr:rowOff>
        </xdr:from>
        <xdr:to>
          <xdr:col>16</xdr:col>
          <xdr:colOff>447675</xdr:colOff>
          <xdr:row>192</xdr:row>
          <xdr:rowOff>266700</xdr:rowOff>
        </xdr:to>
        <xdr:sp macro="" textlink="">
          <xdr:nvSpPr>
            <xdr:cNvPr id="2021" name="Button 358" hidden="1">
              <a:extLst>
                <a:ext uri="{63B3BB69-23CF-44E3-9099-C40C66FF867C}">
                  <a14:compatExt spid="_x0000_s2021"/>
                </a:ext>
                <a:ext uri="{FF2B5EF4-FFF2-40B4-BE49-F238E27FC236}">
                  <a16:creationId xmlns:a16="http://schemas.microsoft.com/office/drawing/2014/main" id="{00000000-0008-0000-0000-0000E5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191</xdr:row>
          <xdr:rowOff>19050</xdr:rowOff>
        </xdr:from>
        <xdr:to>
          <xdr:col>6</xdr:col>
          <xdr:colOff>447675</xdr:colOff>
          <xdr:row>191</xdr:row>
          <xdr:rowOff>266700</xdr:rowOff>
        </xdr:to>
        <xdr:sp macro="" textlink="">
          <xdr:nvSpPr>
            <xdr:cNvPr id="2022" name="Button 201" hidden="1">
              <a:extLst>
                <a:ext uri="{63B3BB69-23CF-44E3-9099-C40C66FF867C}">
                  <a14:compatExt spid="_x0000_s2022"/>
                </a:ext>
                <a:ext uri="{FF2B5EF4-FFF2-40B4-BE49-F238E27FC236}">
                  <a16:creationId xmlns:a16="http://schemas.microsoft.com/office/drawing/2014/main" id="{00000000-0008-0000-0000-0000E6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192</xdr:row>
          <xdr:rowOff>19050</xdr:rowOff>
        </xdr:from>
        <xdr:to>
          <xdr:col>6</xdr:col>
          <xdr:colOff>447675</xdr:colOff>
          <xdr:row>192</xdr:row>
          <xdr:rowOff>266700</xdr:rowOff>
        </xdr:to>
        <xdr:sp macro="" textlink="">
          <xdr:nvSpPr>
            <xdr:cNvPr id="2023" name="Button 202" hidden="1">
              <a:extLst>
                <a:ext uri="{63B3BB69-23CF-44E3-9099-C40C66FF867C}">
                  <a14:compatExt spid="_x0000_s2023"/>
                </a:ext>
                <a:ext uri="{FF2B5EF4-FFF2-40B4-BE49-F238E27FC236}">
                  <a16:creationId xmlns:a16="http://schemas.microsoft.com/office/drawing/2014/main" id="{00000000-0008-0000-0000-0000E7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193</xdr:row>
          <xdr:rowOff>19050</xdr:rowOff>
        </xdr:from>
        <xdr:to>
          <xdr:col>0</xdr:col>
          <xdr:colOff>447675</xdr:colOff>
          <xdr:row>193</xdr:row>
          <xdr:rowOff>266700</xdr:rowOff>
        </xdr:to>
        <xdr:sp macro="" textlink="">
          <xdr:nvSpPr>
            <xdr:cNvPr id="2024" name="Button 201" hidden="1">
              <a:extLst>
                <a:ext uri="{63B3BB69-23CF-44E3-9099-C40C66FF867C}">
                  <a14:compatExt spid="_x0000_s2024"/>
                </a:ext>
                <a:ext uri="{FF2B5EF4-FFF2-40B4-BE49-F238E27FC236}">
                  <a16:creationId xmlns:a16="http://schemas.microsoft.com/office/drawing/2014/main" id="{00000000-0008-0000-0000-0000E8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194</xdr:row>
          <xdr:rowOff>19050</xdr:rowOff>
        </xdr:from>
        <xdr:to>
          <xdr:col>0</xdr:col>
          <xdr:colOff>447675</xdr:colOff>
          <xdr:row>194</xdr:row>
          <xdr:rowOff>266700</xdr:rowOff>
        </xdr:to>
        <xdr:sp macro="" textlink="">
          <xdr:nvSpPr>
            <xdr:cNvPr id="2025" name="Button 202" hidden="1">
              <a:extLst>
                <a:ext uri="{63B3BB69-23CF-44E3-9099-C40C66FF867C}">
                  <a14:compatExt spid="_x0000_s2025"/>
                </a:ext>
                <a:ext uri="{FF2B5EF4-FFF2-40B4-BE49-F238E27FC236}">
                  <a16:creationId xmlns:a16="http://schemas.microsoft.com/office/drawing/2014/main" id="{00000000-0008-0000-0000-0000E9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193</xdr:row>
          <xdr:rowOff>19050</xdr:rowOff>
        </xdr:from>
        <xdr:to>
          <xdr:col>16</xdr:col>
          <xdr:colOff>447675</xdr:colOff>
          <xdr:row>193</xdr:row>
          <xdr:rowOff>266700</xdr:rowOff>
        </xdr:to>
        <xdr:sp macro="" textlink="">
          <xdr:nvSpPr>
            <xdr:cNvPr id="2026" name="Button 357" hidden="1">
              <a:extLst>
                <a:ext uri="{63B3BB69-23CF-44E3-9099-C40C66FF867C}">
                  <a14:compatExt spid="_x0000_s2026"/>
                </a:ext>
                <a:ext uri="{FF2B5EF4-FFF2-40B4-BE49-F238E27FC236}">
                  <a16:creationId xmlns:a16="http://schemas.microsoft.com/office/drawing/2014/main" id="{00000000-0008-0000-0000-0000EA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194</xdr:row>
          <xdr:rowOff>19050</xdr:rowOff>
        </xdr:from>
        <xdr:to>
          <xdr:col>16</xdr:col>
          <xdr:colOff>447675</xdr:colOff>
          <xdr:row>194</xdr:row>
          <xdr:rowOff>266700</xdr:rowOff>
        </xdr:to>
        <xdr:sp macro="" textlink="">
          <xdr:nvSpPr>
            <xdr:cNvPr id="2027" name="Button 358" hidden="1">
              <a:extLst>
                <a:ext uri="{63B3BB69-23CF-44E3-9099-C40C66FF867C}">
                  <a14:compatExt spid="_x0000_s2027"/>
                </a:ext>
                <a:ext uri="{FF2B5EF4-FFF2-40B4-BE49-F238E27FC236}">
                  <a16:creationId xmlns:a16="http://schemas.microsoft.com/office/drawing/2014/main" id="{00000000-0008-0000-0000-0000EB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193</xdr:row>
          <xdr:rowOff>19050</xdr:rowOff>
        </xdr:from>
        <xdr:to>
          <xdr:col>6</xdr:col>
          <xdr:colOff>447675</xdr:colOff>
          <xdr:row>193</xdr:row>
          <xdr:rowOff>266700</xdr:rowOff>
        </xdr:to>
        <xdr:sp macro="" textlink="">
          <xdr:nvSpPr>
            <xdr:cNvPr id="2028" name="Button 201" hidden="1">
              <a:extLst>
                <a:ext uri="{63B3BB69-23CF-44E3-9099-C40C66FF867C}">
                  <a14:compatExt spid="_x0000_s2028"/>
                </a:ext>
                <a:ext uri="{FF2B5EF4-FFF2-40B4-BE49-F238E27FC236}">
                  <a16:creationId xmlns:a16="http://schemas.microsoft.com/office/drawing/2014/main" id="{00000000-0008-0000-0000-0000EC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194</xdr:row>
          <xdr:rowOff>19050</xdr:rowOff>
        </xdr:from>
        <xdr:to>
          <xdr:col>6</xdr:col>
          <xdr:colOff>447675</xdr:colOff>
          <xdr:row>194</xdr:row>
          <xdr:rowOff>266700</xdr:rowOff>
        </xdr:to>
        <xdr:sp macro="" textlink="">
          <xdr:nvSpPr>
            <xdr:cNvPr id="2029" name="Button 202" hidden="1">
              <a:extLst>
                <a:ext uri="{63B3BB69-23CF-44E3-9099-C40C66FF867C}">
                  <a14:compatExt spid="_x0000_s2029"/>
                </a:ext>
                <a:ext uri="{FF2B5EF4-FFF2-40B4-BE49-F238E27FC236}">
                  <a16:creationId xmlns:a16="http://schemas.microsoft.com/office/drawing/2014/main" id="{00000000-0008-0000-0000-0000ED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195</xdr:row>
          <xdr:rowOff>19050</xdr:rowOff>
        </xdr:from>
        <xdr:to>
          <xdr:col>0</xdr:col>
          <xdr:colOff>447675</xdr:colOff>
          <xdr:row>195</xdr:row>
          <xdr:rowOff>266700</xdr:rowOff>
        </xdr:to>
        <xdr:sp macro="" textlink="">
          <xdr:nvSpPr>
            <xdr:cNvPr id="2030" name="Button 201" hidden="1">
              <a:extLst>
                <a:ext uri="{63B3BB69-23CF-44E3-9099-C40C66FF867C}">
                  <a14:compatExt spid="_x0000_s2030"/>
                </a:ext>
                <a:ext uri="{FF2B5EF4-FFF2-40B4-BE49-F238E27FC236}">
                  <a16:creationId xmlns:a16="http://schemas.microsoft.com/office/drawing/2014/main" id="{00000000-0008-0000-0000-0000EE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196</xdr:row>
          <xdr:rowOff>19050</xdr:rowOff>
        </xdr:from>
        <xdr:to>
          <xdr:col>0</xdr:col>
          <xdr:colOff>447675</xdr:colOff>
          <xdr:row>196</xdr:row>
          <xdr:rowOff>266700</xdr:rowOff>
        </xdr:to>
        <xdr:sp macro="" textlink="">
          <xdr:nvSpPr>
            <xdr:cNvPr id="2031" name="Button 202" hidden="1">
              <a:extLst>
                <a:ext uri="{63B3BB69-23CF-44E3-9099-C40C66FF867C}">
                  <a14:compatExt spid="_x0000_s2031"/>
                </a:ext>
                <a:ext uri="{FF2B5EF4-FFF2-40B4-BE49-F238E27FC236}">
                  <a16:creationId xmlns:a16="http://schemas.microsoft.com/office/drawing/2014/main" id="{00000000-0008-0000-0000-0000EF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195</xdr:row>
          <xdr:rowOff>19050</xdr:rowOff>
        </xdr:from>
        <xdr:to>
          <xdr:col>16</xdr:col>
          <xdr:colOff>447675</xdr:colOff>
          <xdr:row>195</xdr:row>
          <xdr:rowOff>266700</xdr:rowOff>
        </xdr:to>
        <xdr:sp macro="" textlink="">
          <xdr:nvSpPr>
            <xdr:cNvPr id="2032" name="Button 357" hidden="1">
              <a:extLst>
                <a:ext uri="{63B3BB69-23CF-44E3-9099-C40C66FF867C}">
                  <a14:compatExt spid="_x0000_s2032"/>
                </a:ext>
                <a:ext uri="{FF2B5EF4-FFF2-40B4-BE49-F238E27FC236}">
                  <a16:creationId xmlns:a16="http://schemas.microsoft.com/office/drawing/2014/main" id="{00000000-0008-0000-0000-0000F0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196</xdr:row>
          <xdr:rowOff>19050</xdr:rowOff>
        </xdr:from>
        <xdr:to>
          <xdr:col>16</xdr:col>
          <xdr:colOff>447675</xdr:colOff>
          <xdr:row>196</xdr:row>
          <xdr:rowOff>266700</xdr:rowOff>
        </xdr:to>
        <xdr:sp macro="" textlink="">
          <xdr:nvSpPr>
            <xdr:cNvPr id="2033" name="Button 358" hidden="1">
              <a:extLst>
                <a:ext uri="{63B3BB69-23CF-44E3-9099-C40C66FF867C}">
                  <a14:compatExt spid="_x0000_s2033"/>
                </a:ext>
                <a:ext uri="{FF2B5EF4-FFF2-40B4-BE49-F238E27FC236}">
                  <a16:creationId xmlns:a16="http://schemas.microsoft.com/office/drawing/2014/main" id="{00000000-0008-0000-0000-0000F1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195</xdr:row>
          <xdr:rowOff>19050</xdr:rowOff>
        </xdr:from>
        <xdr:to>
          <xdr:col>6</xdr:col>
          <xdr:colOff>447675</xdr:colOff>
          <xdr:row>195</xdr:row>
          <xdr:rowOff>266700</xdr:rowOff>
        </xdr:to>
        <xdr:sp macro="" textlink="">
          <xdr:nvSpPr>
            <xdr:cNvPr id="2034" name="Button 201" hidden="1">
              <a:extLst>
                <a:ext uri="{63B3BB69-23CF-44E3-9099-C40C66FF867C}">
                  <a14:compatExt spid="_x0000_s2034"/>
                </a:ext>
                <a:ext uri="{FF2B5EF4-FFF2-40B4-BE49-F238E27FC236}">
                  <a16:creationId xmlns:a16="http://schemas.microsoft.com/office/drawing/2014/main" id="{00000000-0008-0000-0000-0000F2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196</xdr:row>
          <xdr:rowOff>19050</xdr:rowOff>
        </xdr:from>
        <xdr:to>
          <xdr:col>6</xdr:col>
          <xdr:colOff>447675</xdr:colOff>
          <xdr:row>196</xdr:row>
          <xdr:rowOff>266700</xdr:rowOff>
        </xdr:to>
        <xdr:sp macro="" textlink="">
          <xdr:nvSpPr>
            <xdr:cNvPr id="2035" name="Button 202" hidden="1">
              <a:extLst>
                <a:ext uri="{63B3BB69-23CF-44E3-9099-C40C66FF867C}">
                  <a14:compatExt spid="_x0000_s2035"/>
                </a:ext>
                <a:ext uri="{FF2B5EF4-FFF2-40B4-BE49-F238E27FC236}">
                  <a16:creationId xmlns:a16="http://schemas.microsoft.com/office/drawing/2014/main" id="{00000000-0008-0000-0000-0000F3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197</xdr:row>
          <xdr:rowOff>19050</xdr:rowOff>
        </xdr:from>
        <xdr:to>
          <xdr:col>0</xdr:col>
          <xdr:colOff>447675</xdr:colOff>
          <xdr:row>197</xdr:row>
          <xdr:rowOff>266700</xdr:rowOff>
        </xdr:to>
        <xdr:sp macro="" textlink="">
          <xdr:nvSpPr>
            <xdr:cNvPr id="2036" name="Button 201" hidden="1">
              <a:extLst>
                <a:ext uri="{63B3BB69-23CF-44E3-9099-C40C66FF867C}">
                  <a14:compatExt spid="_x0000_s2036"/>
                </a:ext>
                <a:ext uri="{FF2B5EF4-FFF2-40B4-BE49-F238E27FC236}">
                  <a16:creationId xmlns:a16="http://schemas.microsoft.com/office/drawing/2014/main" id="{00000000-0008-0000-0000-0000F4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0</xdr:col>
          <xdr:colOff>447675</xdr:colOff>
          <xdr:row>198</xdr:row>
          <xdr:rowOff>266700</xdr:rowOff>
        </xdr:to>
        <xdr:sp macro="" textlink="">
          <xdr:nvSpPr>
            <xdr:cNvPr id="2037" name="Button 202" hidden="1">
              <a:extLst>
                <a:ext uri="{63B3BB69-23CF-44E3-9099-C40C66FF867C}">
                  <a14:compatExt spid="_x0000_s2037"/>
                </a:ext>
                <a:ext uri="{FF2B5EF4-FFF2-40B4-BE49-F238E27FC236}">
                  <a16:creationId xmlns:a16="http://schemas.microsoft.com/office/drawing/2014/main" id="{00000000-0008-0000-0000-0000F5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197</xdr:row>
          <xdr:rowOff>19050</xdr:rowOff>
        </xdr:from>
        <xdr:to>
          <xdr:col>16</xdr:col>
          <xdr:colOff>447675</xdr:colOff>
          <xdr:row>197</xdr:row>
          <xdr:rowOff>266700</xdr:rowOff>
        </xdr:to>
        <xdr:sp macro="" textlink="">
          <xdr:nvSpPr>
            <xdr:cNvPr id="2038" name="Button 357" hidden="1">
              <a:extLst>
                <a:ext uri="{63B3BB69-23CF-44E3-9099-C40C66FF867C}">
                  <a14:compatExt spid="_x0000_s2038"/>
                </a:ext>
                <a:ext uri="{FF2B5EF4-FFF2-40B4-BE49-F238E27FC236}">
                  <a16:creationId xmlns:a16="http://schemas.microsoft.com/office/drawing/2014/main" id="{00000000-0008-0000-0000-0000F6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198</xdr:row>
          <xdr:rowOff>19050</xdr:rowOff>
        </xdr:from>
        <xdr:to>
          <xdr:col>16</xdr:col>
          <xdr:colOff>447675</xdr:colOff>
          <xdr:row>198</xdr:row>
          <xdr:rowOff>266700</xdr:rowOff>
        </xdr:to>
        <xdr:sp macro="" textlink="">
          <xdr:nvSpPr>
            <xdr:cNvPr id="2039" name="Button 358" hidden="1">
              <a:extLst>
                <a:ext uri="{63B3BB69-23CF-44E3-9099-C40C66FF867C}">
                  <a14:compatExt spid="_x0000_s2039"/>
                </a:ext>
                <a:ext uri="{FF2B5EF4-FFF2-40B4-BE49-F238E27FC236}">
                  <a16:creationId xmlns:a16="http://schemas.microsoft.com/office/drawing/2014/main" id="{00000000-0008-0000-0000-0000F7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197</xdr:row>
          <xdr:rowOff>19050</xdr:rowOff>
        </xdr:from>
        <xdr:to>
          <xdr:col>6</xdr:col>
          <xdr:colOff>447675</xdr:colOff>
          <xdr:row>197</xdr:row>
          <xdr:rowOff>266700</xdr:rowOff>
        </xdr:to>
        <xdr:sp macro="" textlink="">
          <xdr:nvSpPr>
            <xdr:cNvPr id="2040" name="Button 201" hidden="1">
              <a:extLst>
                <a:ext uri="{63B3BB69-23CF-44E3-9099-C40C66FF867C}">
                  <a14:compatExt spid="_x0000_s2040"/>
                </a:ext>
                <a:ext uri="{FF2B5EF4-FFF2-40B4-BE49-F238E27FC236}">
                  <a16:creationId xmlns:a16="http://schemas.microsoft.com/office/drawing/2014/main" id="{00000000-0008-0000-0000-0000F8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198</xdr:row>
          <xdr:rowOff>19050</xdr:rowOff>
        </xdr:from>
        <xdr:to>
          <xdr:col>6</xdr:col>
          <xdr:colOff>447675</xdr:colOff>
          <xdr:row>198</xdr:row>
          <xdr:rowOff>266700</xdr:rowOff>
        </xdr:to>
        <xdr:sp macro="" textlink="">
          <xdr:nvSpPr>
            <xdr:cNvPr id="2041" name="Button 202" hidden="1">
              <a:extLst>
                <a:ext uri="{63B3BB69-23CF-44E3-9099-C40C66FF867C}">
                  <a14:compatExt spid="_x0000_s2041"/>
                </a:ext>
                <a:ext uri="{FF2B5EF4-FFF2-40B4-BE49-F238E27FC236}">
                  <a16:creationId xmlns:a16="http://schemas.microsoft.com/office/drawing/2014/main" id="{00000000-0008-0000-0000-0000F9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199</xdr:row>
          <xdr:rowOff>19050</xdr:rowOff>
        </xdr:from>
        <xdr:to>
          <xdr:col>0</xdr:col>
          <xdr:colOff>447675</xdr:colOff>
          <xdr:row>199</xdr:row>
          <xdr:rowOff>266700</xdr:rowOff>
        </xdr:to>
        <xdr:sp macro="" textlink="">
          <xdr:nvSpPr>
            <xdr:cNvPr id="2042" name="Button 201" hidden="1">
              <a:extLst>
                <a:ext uri="{63B3BB69-23CF-44E3-9099-C40C66FF867C}">
                  <a14:compatExt spid="_x0000_s2042"/>
                </a:ext>
                <a:ext uri="{FF2B5EF4-FFF2-40B4-BE49-F238E27FC236}">
                  <a16:creationId xmlns:a16="http://schemas.microsoft.com/office/drawing/2014/main" id="{00000000-0008-0000-0000-0000FA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200</xdr:row>
          <xdr:rowOff>19050</xdr:rowOff>
        </xdr:from>
        <xdr:to>
          <xdr:col>0</xdr:col>
          <xdr:colOff>447675</xdr:colOff>
          <xdr:row>200</xdr:row>
          <xdr:rowOff>266700</xdr:rowOff>
        </xdr:to>
        <xdr:sp macro="" textlink="">
          <xdr:nvSpPr>
            <xdr:cNvPr id="2043" name="Button 202" hidden="1">
              <a:extLst>
                <a:ext uri="{63B3BB69-23CF-44E3-9099-C40C66FF867C}">
                  <a14:compatExt spid="_x0000_s2043"/>
                </a:ext>
                <a:ext uri="{FF2B5EF4-FFF2-40B4-BE49-F238E27FC236}">
                  <a16:creationId xmlns:a16="http://schemas.microsoft.com/office/drawing/2014/main" id="{00000000-0008-0000-0000-0000FB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199</xdr:row>
          <xdr:rowOff>19050</xdr:rowOff>
        </xdr:from>
        <xdr:to>
          <xdr:col>16</xdr:col>
          <xdr:colOff>447675</xdr:colOff>
          <xdr:row>199</xdr:row>
          <xdr:rowOff>266700</xdr:rowOff>
        </xdr:to>
        <xdr:sp macro="" textlink="">
          <xdr:nvSpPr>
            <xdr:cNvPr id="2044" name="Button 357" hidden="1">
              <a:extLst>
                <a:ext uri="{63B3BB69-23CF-44E3-9099-C40C66FF867C}">
                  <a14:compatExt spid="_x0000_s2044"/>
                </a:ext>
                <a:ext uri="{FF2B5EF4-FFF2-40B4-BE49-F238E27FC236}">
                  <a16:creationId xmlns:a16="http://schemas.microsoft.com/office/drawing/2014/main" id="{00000000-0008-0000-0000-0000FC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200</xdr:row>
          <xdr:rowOff>19050</xdr:rowOff>
        </xdr:from>
        <xdr:to>
          <xdr:col>16</xdr:col>
          <xdr:colOff>447675</xdr:colOff>
          <xdr:row>200</xdr:row>
          <xdr:rowOff>266700</xdr:rowOff>
        </xdr:to>
        <xdr:sp macro="" textlink="">
          <xdr:nvSpPr>
            <xdr:cNvPr id="2045" name="Button 358" hidden="1">
              <a:extLst>
                <a:ext uri="{63B3BB69-23CF-44E3-9099-C40C66FF867C}">
                  <a14:compatExt spid="_x0000_s2045"/>
                </a:ext>
                <a:ext uri="{FF2B5EF4-FFF2-40B4-BE49-F238E27FC236}">
                  <a16:creationId xmlns:a16="http://schemas.microsoft.com/office/drawing/2014/main" id="{00000000-0008-0000-0000-0000FD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199</xdr:row>
          <xdr:rowOff>19050</xdr:rowOff>
        </xdr:from>
        <xdr:to>
          <xdr:col>6</xdr:col>
          <xdr:colOff>447675</xdr:colOff>
          <xdr:row>199</xdr:row>
          <xdr:rowOff>266700</xdr:rowOff>
        </xdr:to>
        <xdr:sp macro="" textlink="">
          <xdr:nvSpPr>
            <xdr:cNvPr id="2046" name="Button 201" hidden="1">
              <a:extLst>
                <a:ext uri="{63B3BB69-23CF-44E3-9099-C40C66FF867C}">
                  <a14:compatExt spid="_x0000_s2046"/>
                </a:ext>
                <a:ext uri="{FF2B5EF4-FFF2-40B4-BE49-F238E27FC236}">
                  <a16:creationId xmlns:a16="http://schemas.microsoft.com/office/drawing/2014/main" id="{00000000-0008-0000-0000-0000FE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200</xdr:row>
          <xdr:rowOff>19050</xdr:rowOff>
        </xdr:from>
        <xdr:to>
          <xdr:col>6</xdr:col>
          <xdr:colOff>447675</xdr:colOff>
          <xdr:row>200</xdr:row>
          <xdr:rowOff>266700</xdr:rowOff>
        </xdr:to>
        <xdr:sp macro="" textlink="">
          <xdr:nvSpPr>
            <xdr:cNvPr id="2047" name="Button 202" hidden="1">
              <a:extLst>
                <a:ext uri="{63B3BB69-23CF-44E3-9099-C40C66FF867C}">
                  <a14:compatExt spid="_x0000_s2047"/>
                </a:ext>
                <a:ext uri="{FF2B5EF4-FFF2-40B4-BE49-F238E27FC236}">
                  <a16:creationId xmlns:a16="http://schemas.microsoft.com/office/drawing/2014/main" id="{00000000-0008-0000-0000-0000FF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200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xdr:row>
          <xdr:rowOff>19050</xdr:rowOff>
        </xdr:from>
        <xdr:to>
          <xdr:col>6</xdr:col>
          <xdr:colOff>457200</xdr:colOff>
          <xdr:row>1</xdr:row>
          <xdr:rowOff>276225</xdr:rowOff>
        </xdr:to>
        <xdr:sp macro="" textlink="">
          <xdr:nvSpPr>
            <xdr:cNvPr id="7168" name="Button 27" hidden="1">
              <a:extLst>
                <a:ext uri="{63B3BB69-23CF-44E3-9099-C40C66FF867C}">
                  <a14:compatExt spid="_x0000_s7168"/>
                </a:ext>
                <a:ext uri="{FF2B5EF4-FFF2-40B4-BE49-F238E27FC236}">
                  <a16:creationId xmlns:a16="http://schemas.microsoft.com/office/drawing/2014/main" id="{00000000-0008-0000-0000-000000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xdr:twoCellAnchor>
    <xdr:from>
      <xdr:col>6</xdr:col>
      <xdr:colOff>28575</xdr:colOff>
      <xdr:row>4</xdr:row>
      <xdr:rowOff>19050</xdr:rowOff>
    </xdr:from>
    <xdr:to>
      <xdr:col>6</xdr:col>
      <xdr:colOff>457200</xdr:colOff>
      <xdr:row>4</xdr:row>
      <xdr:rowOff>276225</xdr:rowOff>
    </xdr:to>
    <xdr:sp macro="" textlink="">
      <xdr:nvSpPr>
        <xdr:cNvPr id="91"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5B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7</xdr:row>
      <xdr:rowOff>19050</xdr:rowOff>
    </xdr:from>
    <xdr:to>
      <xdr:col>6</xdr:col>
      <xdr:colOff>457200</xdr:colOff>
      <xdr:row>7</xdr:row>
      <xdr:rowOff>276225</xdr:rowOff>
    </xdr:to>
    <xdr:sp macro="" textlink="">
      <xdr:nvSpPr>
        <xdr:cNvPr id="92"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5C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10</xdr:row>
      <xdr:rowOff>19050</xdr:rowOff>
    </xdr:from>
    <xdr:to>
      <xdr:col>6</xdr:col>
      <xdr:colOff>457200</xdr:colOff>
      <xdr:row>10</xdr:row>
      <xdr:rowOff>276225</xdr:rowOff>
    </xdr:to>
    <xdr:sp macro="" textlink="">
      <xdr:nvSpPr>
        <xdr:cNvPr id="93"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5D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13</xdr:row>
      <xdr:rowOff>19050</xdr:rowOff>
    </xdr:from>
    <xdr:to>
      <xdr:col>6</xdr:col>
      <xdr:colOff>457200</xdr:colOff>
      <xdr:row>13</xdr:row>
      <xdr:rowOff>276225</xdr:rowOff>
    </xdr:to>
    <xdr:sp macro="" textlink="">
      <xdr:nvSpPr>
        <xdr:cNvPr id="94"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5E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16</xdr:row>
      <xdr:rowOff>19050</xdr:rowOff>
    </xdr:from>
    <xdr:to>
      <xdr:col>6</xdr:col>
      <xdr:colOff>457200</xdr:colOff>
      <xdr:row>16</xdr:row>
      <xdr:rowOff>276225</xdr:rowOff>
    </xdr:to>
    <xdr:sp macro="" textlink="">
      <xdr:nvSpPr>
        <xdr:cNvPr id="95"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5F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19</xdr:row>
      <xdr:rowOff>19050</xdr:rowOff>
    </xdr:from>
    <xdr:to>
      <xdr:col>6</xdr:col>
      <xdr:colOff>457200</xdr:colOff>
      <xdr:row>19</xdr:row>
      <xdr:rowOff>276225</xdr:rowOff>
    </xdr:to>
    <xdr:sp macro="" textlink="">
      <xdr:nvSpPr>
        <xdr:cNvPr id="96"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60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22</xdr:row>
      <xdr:rowOff>19050</xdr:rowOff>
    </xdr:from>
    <xdr:to>
      <xdr:col>6</xdr:col>
      <xdr:colOff>457200</xdr:colOff>
      <xdr:row>22</xdr:row>
      <xdr:rowOff>276225</xdr:rowOff>
    </xdr:to>
    <xdr:sp macro="" textlink="">
      <xdr:nvSpPr>
        <xdr:cNvPr id="97"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61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25</xdr:row>
      <xdr:rowOff>19050</xdr:rowOff>
    </xdr:from>
    <xdr:to>
      <xdr:col>6</xdr:col>
      <xdr:colOff>457200</xdr:colOff>
      <xdr:row>25</xdr:row>
      <xdr:rowOff>276225</xdr:rowOff>
    </xdr:to>
    <xdr:sp macro="" textlink="">
      <xdr:nvSpPr>
        <xdr:cNvPr id="98"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62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28</xdr:row>
      <xdr:rowOff>19050</xdr:rowOff>
    </xdr:from>
    <xdr:to>
      <xdr:col>6</xdr:col>
      <xdr:colOff>457200</xdr:colOff>
      <xdr:row>28</xdr:row>
      <xdr:rowOff>276225</xdr:rowOff>
    </xdr:to>
    <xdr:sp macro="" textlink="">
      <xdr:nvSpPr>
        <xdr:cNvPr id="99"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63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31</xdr:row>
      <xdr:rowOff>19050</xdr:rowOff>
    </xdr:from>
    <xdr:to>
      <xdr:col>6</xdr:col>
      <xdr:colOff>457200</xdr:colOff>
      <xdr:row>31</xdr:row>
      <xdr:rowOff>276225</xdr:rowOff>
    </xdr:to>
    <xdr:sp macro="" textlink="">
      <xdr:nvSpPr>
        <xdr:cNvPr id="100"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64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34</xdr:row>
      <xdr:rowOff>19050</xdr:rowOff>
    </xdr:from>
    <xdr:to>
      <xdr:col>6</xdr:col>
      <xdr:colOff>457200</xdr:colOff>
      <xdr:row>34</xdr:row>
      <xdr:rowOff>276225</xdr:rowOff>
    </xdr:to>
    <xdr:sp macro="" textlink="">
      <xdr:nvSpPr>
        <xdr:cNvPr id="101"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65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37</xdr:row>
      <xdr:rowOff>19050</xdr:rowOff>
    </xdr:from>
    <xdr:to>
      <xdr:col>6</xdr:col>
      <xdr:colOff>457200</xdr:colOff>
      <xdr:row>37</xdr:row>
      <xdr:rowOff>276225</xdr:rowOff>
    </xdr:to>
    <xdr:sp macro="" textlink="">
      <xdr:nvSpPr>
        <xdr:cNvPr id="102"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66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40</xdr:row>
      <xdr:rowOff>19050</xdr:rowOff>
    </xdr:from>
    <xdr:to>
      <xdr:col>6</xdr:col>
      <xdr:colOff>457200</xdr:colOff>
      <xdr:row>40</xdr:row>
      <xdr:rowOff>276225</xdr:rowOff>
    </xdr:to>
    <xdr:sp macro="" textlink="">
      <xdr:nvSpPr>
        <xdr:cNvPr id="103"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67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43</xdr:row>
      <xdr:rowOff>19050</xdr:rowOff>
    </xdr:from>
    <xdr:to>
      <xdr:col>6</xdr:col>
      <xdr:colOff>457200</xdr:colOff>
      <xdr:row>43</xdr:row>
      <xdr:rowOff>276225</xdr:rowOff>
    </xdr:to>
    <xdr:sp macro="" textlink="">
      <xdr:nvSpPr>
        <xdr:cNvPr id="104"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68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46</xdr:row>
      <xdr:rowOff>19050</xdr:rowOff>
    </xdr:from>
    <xdr:to>
      <xdr:col>6</xdr:col>
      <xdr:colOff>457200</xdr:colOff>
      <xdr:row>46</xdr:row>
      <xdr:rowOff>276225</xdr:rowOff>
    </xdr:to>
    <xdr:sp macro="" textlink="">
      <xdr:nvSpPr>
        <xdr:cNvPr id="105"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69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49</xdr:row>
      <xdr:rowOff>19050</xdr:rowOff>
    </xdr:from>
    <xdr:to>
      <xdr:col>6</xdr:col>
      <xdr:colOff>457200</xdr:colOff>
      <xdr:row>49</xdr:row>
      <xdr:rowOff>276225</xdr:rowOff>
    </xdr:to>
    <xdr:sp macro="" textlink="">
      <xdr:nvSpPr>
        <xdr:cNvPr id="106"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6A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52</xdr:row>
      <xdr:rowOff>19050</xdr:rowOff>
    </xdr:from>
    <xdr:to>
      <xdr:col>6</xdr:col>
      <xdr:colOff>457200</xdr:colOff>
      <xdr:row>52</xdr:row>
      <xdr:rowOff>276225</xdr:rowOff>
    </xdr:to>
    <xdr:sp macro="" textlink="">
      <xdr:nvSpPr>
        <xdr:cNvPr id="107"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6B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55</xdr:row>
      <xdr:rowOff>19050</xdr:rowOff>
    </xdr:from>
    <xdr:to>
      <xdr:col>6</xdr:col>
      <xdr:colOff>457200</xdr:colOff>
      <xdr:row>55</xdr:row>
      <xdr:rowOff>276225</xdr:rowOff>
    </xdr:to>
    <xdr:sp macro="" textlink="">
      <xdr:nvSpPr>
        <xdr:cNvPr id="108"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6C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58</xdr:row>
      <xdr:rowOff>19050</xdr:rowOff>
    </xdr:from>
    <xdr:to>
      <xdr:col>6</xdr:col>
      <xdr:colOff>457200</xdr:colOff>
      <xdr:row>58</xdr:row>
      <xdr:rowOff>276225</xdr:rowOff>
    </xdr:to>
    <xdr:sp macro="" textlink="">
      <xdr:nvSpPr>
        <xdr:cNvPr id="109"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6D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61</xdr:row>
      <xdr:rowOff>19050</xdr:rowOff>
    </xdr:from>
    <xdr:to>
      <xdr:col>6</xdr:col>
      <xdr:colOff>457200</xdr:colOff>
      <xdr:row>61</xdr:row>
      <xdr:rowOff>276225</xdr:rowOff>
    </xdr:to>
    <xdr:sp macro="" textlink="">
      <xdr:nvSpPr>
        <xdr:cNvPr id="110"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6E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64</xdr:row>
      <xdr:rowOff>19050</xdr:rowOff>
    </xdr:from>
    <xdr:to>
      <xdr:col>6</xdr:col>
      <xdr:colOff>457200</xdr:colOff>
      <xdr:row>64</xdr:row>
      <xdr:rowOff>276225</xdr:rowOff>
    </xdr:to>
    <xdr:sp macro="" textlink="">
      <xdr:nvSpPr>
        <xdr:cNvPr id="111"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6F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67</xdr:row>
      <xdr:rowOff>19050</xdr:rowOff>
    </xdr:from>
    <xdr:to>
      <xdr:col>6</xdr:col>
      <xdr:colOff>457200</xdr:colOff>
      <xdr:row>67</xdr:row>
      <xdr:rowOff>276225</xdr:rowOff>
    </xdr:to>
    <xdr:sp macro="" textlink="">
      <xdr:nvSpPr>
        <xdr:cNvPr id="112"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70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70</xdr:row>
      <xdr:rowOff>19050</xdr:rowOff>
    </xdr:from>
    <xdr:to>
      <xdr:col>6</xdr:col>
      <xdr:colOff>457200</xdr:colOff>
      <xdr:row>70</xdr:row>
      <xdr:rowOff>276225</xdr:rowOff>
    </xdr:to>
    <xdr:sp macro="" textlink="">
      <xdr:nvSpPr>
        <xdr:cNvPr id="113"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71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73</xdr:row>
      <xdr:rowOff>19050</xdr:rowOff>
    </xdr:from>
    <xdr:to>
      <xdr:col>6</xdr:col>
      <xdr:colOff>457200</xdr:colOff>
      <xdr:row>73</xdr:row>
      <xdr:rowOff>276225</xdr:rowOff>
    </xdr:to>
    <xdr:sp macro="" textlink="">
      <xdr:nvSpPr>
        <xdr:cNvPr id="114"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72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76</xdr:row>
      <xdr:rowOff>19050</xdr:rowOff>
    </xdr:from>
    <xdr:to>
      <xdr:col>6</xdr:col>
      <xdr:colOff>457200</xdr:colOff>
      <xdr:row>76</xdr:row>
      <xdr:rowOff>276225</xdr:rowOff>
    </xdr:to>
    <xdr:sp macro="" textlink="">
      <xdr:nvSpPr>
        <xdr:cNvPr id="115"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73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79</xdr:row>
      <xdr:rowOff>19050</xdr:rowOff>
    </xdr:from>
    <xdr:to>
      <xdr:col>6</xdr:col>
      <xdr:colOff>457200</xdr:colOff>
      <xdr:row>79</xdr:row>
      <xdr:rowOff>276225</xdr:rowOff>
    </xdr:to>
    <xdr:sp macro="" textlink="">
      <xdr:nvSpPr>
        <xdr:cNvPr id="116"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74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82</xdr:row>
      <xdr:rowOff>19050</xdr:rowOff>
    </xdr:from>
    <xdr:to>
      <xdr:col>6</xdr:col>
      <xdr:colOff>457200</xdr:colOff>
      <xdr:row>82</xdr:row>
      <xdr:rowOff>276225</xdr:rowOff>
    </xdr:to>
    <xdr:sp macro="" textlink="">
      <xdr:nvSpPr>
        <xdr:cNvPr id="117"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75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85</xdr:row>
      <xdr:rowOff>19050</xdr:rowOff>
    </xdr:from>
    <xdr:to>
      <xdr:col>6</xdr:col>
      <xdr:colOff>457200</xdr:colOff>
      <xdr:row>85</xdr:row>
      <xdr:rowOff>276225</xdr:rowOff>
    </xdr:to>
    <xdr:sp macro="" textlink="">
      <xdr:nvSpPr>
        <xdr:cNvPr id="118"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76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88</xdr:row>
      <xdr:rowOff>19050</xdr:rowOff>
    </xdr:from>
    <xdr:to>
      <xdr:col>6</xdr:col>
      <xdr:colOff>457200</xdr:colOff>
      <xdr:row>88</xdr:row>
      <xdr:rowOff>276225</xdr:rowOff>
    </xdr:to>
    <xdr:sp macro="" textlink="">
      <xdr:nvSpPr>
        <xdr:cNvPr id="119"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77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91</xdr:row>
      <xdr:rowOff>19050</xdr:rowOff>
    </xdr:from>
    <xdr:to>
      <xdr:col>6</xdr:col>
      <xdr:colOff>457200</xdr:colOff>
      <xdr:row>91</xdr:row>
      <xdr:rowOff>276225</xdr:rowOff>
    </xdr:to>
    <xdr:sp macro="" textlink="">
      <xdr:nvSpPr>
        <xdr:cNvPr id="120"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78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94</xdr:row>
      <xdr:rowOff>19050</xdr:rowOff>
    </xdr:from>
    <xdr:to>
      <xdr:col>6</xdr:col>
      <xdr:colOff>457200</xdr:colOff>
      <xdr:row>94</xdr:row>
      <xdr:rowOff>276225</xdr:rowOff>
    </xdr:to>
    <xdr:sp macro="" textlink="">
      <xdr:nvSpPr>
        <xdr:cNvPr id="121"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79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97</xdr:row>
      <xdr:rowOff>19050</xdr:rowOff>
    </xdr:from>
    <xdr:to>
      <xdr:col>6</xdr:col>
      <xdr:colOff>457200</xdr:colOff>
      <xdr:row>97</xdr:row>
      <xdr:rowOff>276225</xdr:rowOff>
    </xdr:to>
    <xdr:sp macro="" textlink="">
      <xdr:nvSpPr>
        <xdr:cNvPr id="122"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7A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100</xdr:row>
      <xdr:rowOff>19050</xdr:rowOff>
    </xdr:from>
    <xdr:to>
      <xdr:col>6</xdr:col>
      <xdr:colOff>457200</xdr:colOff>
      <xdr:row>100</xdr:row>
      <xdr:rowOff>276225</xdr:rowOff>
    </xdr:to>
    <xdr:sp macro="" textlink="">
      <xdr:nvSpPr>
        <xdr:cNvPr id="123"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7B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103</xdr:row>
      <xdr:rowOff>19050</xdr:rowOff>
    </xdr:from>
    <xdr:to>
      <xdr:col>6</xdr:col>
      <xdr:colOff>457200</xdr:colOff>
      <xdr:row>103</xdr:row>
      <xdr:rowOff>276225</xdr:rowOff>
    </xdr:to>
    <xdr:sp macro="" textlink="">
      <xdr:nvSpPr>
        <xdr:cNvPr id="124"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7C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106</xdr:row>
      <xdr:rowOff>19050</xdr:rowOff>
    </xdr:from>
    <xdr:to>
      <xdr:col>6</xdr:col>
      <xdr:colOff>457200</xdr:colOff>
      <xdr:row>106</xdr:row>
      <xdr:rowOff>276225</xdr:rowOff>
    </xdr:to>
    <xdr:sp macro="" textlink="">
      <xdr:nvSpPr>
        <xdr:cNvPr id="125"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7D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109</xdr:row>
      <xdr:rowOff>19050</xdr:rowOff>
    </xdr:from>
    <xdr:to>
      <xdr:col>6</xdr:col>
      <xdr:colOff>457200</xdr:colOff>
      <xdr:row>109</xdr:row>
      <xdr:rowOff>276225</xdr:rowOff>
    </xdr:to>
    <xdr:sp macro="" textlink="">
      <xdr:nvSpPr>
        <xdr:cNvPr id="126"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7E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twoCellAnchor>
    <xdr:from>
      <xdr:col>6</xdr:col>
      <xdr:colOff>28575</xdr:colOff>
      <xdr:row>112</xdr:row>
      <xdr:rowOff>19050</xdr:rowOff>
    </xdr:from>
    <xdr:to>
      <xdr:col>6</xdr:col>
      <xdr:colOff>457200</xdr:colOff>
      <xdr:row>112</xdr:row>
      <xdr:rowOff>276225</xdr:rowOff>
    </xdr:to>
    <xdr:sp macro="" textlink="">
      <xdr:nvSpPr>
        <xdr:cNvPr id="127" name="Button 27" hidden="1">
          <a:extLst>
            <a:ext uri="{63B3BB69-23CF-44E3-9099-C40C66FF867C}">
              <a14:compatExt xmlns:a14="http://schemas.microsoft.com/office/drawing/2010/main" spid="_x0000_s1710"/>
            </a:ext>
            <a:ext uri="{FF2B5EF4-FFF2-40B4-BE49-F238E27FC236}">
              <a16:creationId xmlns:a16="http://schemas.microsoft.com/office/drawing/2014/main" id="{00000000-0008-0000-0000-00007F000000}"/>
            </a:ext>
          </a:extLst>
        </xdr:cNvPr>
        <xdr:cNvSpPr/>
      </xdr:nvSpPr>
      <xdr:spPr bwMode="auto">
        <a:xfrm>
          <a:off x="6115050" y="447675"/>
          <a:ext cx="428625"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1</a:t>
          </a:r>
        </a:p>
        <a:p>
          <a:pPr algn="ctr" rtl="0">
            <a:defRPr sz="1000"/>
          </a:pPr>
          <a:endParaRPr lang="it-IT" sz="1100" b="1" i="0" u="none" strike="noStrike" baseline="0">
            <a:solidFill>
              <a:srgbClr val="000000"/>
            </a:solidFill>
            <a:latin typeface="Calibri"/>
            <a:cs typeface="Calibri"/>
          </a:endParaRPr>
        </a:p>
      </xdr:txBody>
    </xdr:sp>
    <xdr:clientData fPrintsWithSheet="0"/>
  </xdr:twoCellAnchor>
  <xdr:oneCellAnchor>
    <xdr:from>
      <xdr:col>20</xdr:col>
      <xdr:colOff>1095375</xdr:colOff>
      <xdr:row>84</xdr:row>
      <xdr:rowOff>57150</xdr:rowOff>
    </xdr:from>
    <xdr:ext cx="180975" cy="180975"/>
    <xdr:pic>
      <xdr:nvPicPr>
        <xdr:cNvPr id="13" name="Immagin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925925" y="11410950"/>
          <a:ext cx="180975" cy="180975"/>
        </a:xfrm>
        <a:prstGeom prst="rect">
          <a:avLst/>
        </a:prstGeom>
      </xdr:spPr>
    </xdr:pic>
    <xdr:clientData/>
  </xdr:oneCellAnchor>
  <xdr:oneCellAnchor>
    <xdr:from>
      <xdr:col>20</xdr:col>
      <xdr:colOff>1095375</xdr:colOff>
      <xdr:row>86</xdr:row>
      <xdr:rowOff>66675</xdr:rowOff>
    </xdr:from>
    <xdr:ext cx="180975" cy="180975"/>
    <xdr:pic>
      <xdr:nvPicPr>
        <xdr:cNvPr id="15" name="Immagin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925925" y="12011025"/>
          <a:ext cx="180975" cy="180975"/>
        </a:xfrm>
        <a:prstGeom prst="rect">
          <a:avLst/>
        </a:prstGeom>
      </xdr:spPr>
    </xdr:pic>
    <xdr:clientData/>
  </xdr:oneCellAnchor>
  <xdr:oneCellAnchor>
    <xdr:from>
      <xdr:col>20</xdr:col>
      <xdr:colOff>1095375</xdr:colOff>
      <xdr:row>88</xdr:row>
      <xdr:rowOff>47625</xdr:rowOff>
    </xdr:from>
    <xdr:ext cx="180975" cy="180975"/>
    <xdr:pic>
      <xdr:nvPicPr>
        <xdr:cNvPr id="24" name="Immagine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925925" y="12582525"/>
          <a:ext cx="180975" cy="180975"/>
        </a:xfrm>
        <a:prstGeom prst="rect">
          <a:avLst/>
        </a:prstGeom>
      </xdr:spPr>
    </xdr:pic>
    <xdr:clientData/>
  </xdr:oneCellAnchor>
  <xdr:oneCellAnchor>
    <xdr:from>
      <xdr:col>20</xdr:col>
      <xdr:colOff>1104900</xdr:colOff>
      <xdr:row>90</xdr:row>
      <xdr:rowOff>57150</xdr:rowOff>
    </xdr:from>
    <xdr:ext cx="180975" cy="180975"/>
    <xdr:pic>
      <xdr:nvPicPr>
        <xdr:cNvPr id="26" name="Immagin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935450" y="13182600"/>
          <a:ext cx="180975" cy="180975"/>
        </a:xfrm>
        <a:prstGeom prst="rect">
          <a:avLst/>
        </a:prstGeom>
      </xdr:spPr>
    </xdr:pic>
    <xdr:clientData/>
  </xdr:oneCellAnchor>
  <xdr:oneCellAnchor>
    <xdr:from>
      <xdr:col>20</xdr:col>
      <xdr:colOff>1104900</xdr:colOff>
      <xdr:row>92</xdr:row>
      <xdr:rowOff>66675</xdr:rowOff>
    </xdr:from>
    <xdr:ext cx="180975" cy="180975"/>
    <xdr:pic>
      <xdr:nvPicPr>
        <xdr:cNvPr id="28" name="Immagin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935450" y="13782675"/>
          <a:ext cx="180975" cy="180975"/>
        </a:xfrm>
        <a:prstGeom prst="rect">
          <a:avLst/>
        </a:prstGeom>
      </xdr:spPr>
    </xdr:pic>
    <xdr:clientData/>
  </xdr:oneCellAnchor>
  <xdr:oneCellAnchor>
    <xdr:from>
      <xdr:col>20</xdr:col>
      <xdr:colOff>1095375</xdr:colOff>
      <xdr:row>94</xdr:row>
      <xdr:rowOff>57150</xdr:rowOff>
    </xdr:from>
    <xdr:ext cx="180975" cy="180975"/>
    <xdr:pic>
      <xdr:nvPicPr>
        <xdr:cNvPr id="1872" name="Immagine 1871">
          <a:extLst>
            <a:ext uri="{FF2B5EF4-FFF2-40B4-BE49-F238E27FC236}">
              <a16:creationId xmlns:a16="http://schemas.microsoft.com/office/drawing/2014/main" id="{00000000-0008-0000-0000-00005007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925925" y="14363700"/>
          <a:ext cx="180975" cy="180975"/>
        </a:xfrm>
        <a:prstGeom prst="rect">
          <a:avLst/>
        </a:prstGeom>
      </xdr:spPr>
    </xdr:pic>
    <xdr:clientData/>
  </xdr:oneCellAnchor>
  <xdr:oneCellAnchor>
    <xdr:from>
      <xdr:col>20</xdr:col>
      <xdr:colOff>1095375</xdr:colOff>
      <xdr:row>96</xdr:row>
      <xdr:rowOff>66675</xdr:rowOff>
    </xdr:from>
    <xdr:ext cx="180975" cy="180975"/>
    <xdr:pic>
      <xdr:nvPicPr>
        <xdr:cNvPr id="1874" name="Immagine 1873">
          <a:extLst>
            <a:ext uri="{FF2B5EF4-FFF2-40B4-BE49-F238E27FC236}">
              <a16:creationId xmlns:a16="http://schemas.microsoft.com/office/drawing/2014/main" id="{00000000-0008-0000-0000-00005207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925925" y="14963775"/>
          <a:ext cx="180975" cy="180975"/>
        </a:xfrm>
        <a:prstGeom prst="rect">
          <a:avLst/>
        </a:prstGeom>
      </xdr:spPr>
    </xdr:pic>
    <xdr:clientData/>
  </xdr:oneCellAnchor>
  <xdr:oneCellAnchor>
    <xdr:from>
      <xdr:col>20</xdr:col>
      <xdr:colOff>1095375</xdr:colOff>
      <xdr:row>98</xdr:row>
      <xdr:rowOff>47625</xdr:rowOff>
    </xdr:from>
    <xdr:ext cx="180975" cy="180975"/>
    <xdr:pic>
      <xdr:nvPicPr>
        <xdr:cNvPr id="1876" name="Immagine 1875">
          <a:extLst>
            <a:ext uri="{FF2B5EF4-FFF2-40B4-BE49-F238E27FC236}">
              <a16:creationId xmlns:a16="http://schemas.microsoft.com/office/drawing/2014/main" id="{00000000-0008-0000-0000-00005407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925925" y="15525750"/>
          <a:ext cx="180975" cy="180975"/>
        </a:xfrm>
        <a:prstGeom prst="rect">
          <a:avLst/>
        </a:prstGeom>
      </xdr:spPr>
    </xdr:pic>
    <xdr:clientData/>
  </xdr:oneCellAnchor>
  <xdr:oneCellAnchor>
    <xdr:from>
      <xdr:col>20</xdr:col>
      <xdr:colOff>1104900</xdr:colOff>
      <xdr:row>100</xdr:row>
      <xdr:rowOff>57150</xdr:rowOff>
    </xdr:from>
    <xdr:ext cx="180975" cy="180975"/>
    <xdr:pic>
      <xdr:nvPicPr>
        <xdr:cNvPr id="1878" name="Immagine 1877">
          <a:extLst>
            <a:ext uri="{FF2B5EF4-FFF2-40B4-BE49-F238E27FC236}">
              <a16:creationId xmlns:a16="http://schemas.microsoft.com/office/drawing/2014/main" id="{00000000-0008-0000-0000-00005607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935450" y="16125825"/>
          <a:ext cx="180975" cy="180975"/>
        </a:xfrm>
        <a:prstGeom prst="rect">
          <a:avLst/>
        </a:prstGeom>
      </xdr:spPr>
    </xdr:pic>
    <xdr:clientData/>
  </xdr:oneCellAnchor>
  <xdr:oneCellAnchor>
    <xdr:from>
      <xdr:col>20</xdr:col>
      <xdr:colOff>1104900</xdr:colOff>
      <xdr:row>102</xdr:row>
      <xdr:rowOff>66675</xdr:rowOff>
    </xdr:from>
    <xdr:ext cx="180975" cy="180975"/>
    <xdr:pic>
      <xdr:nvPicPr>
        <xdr:cNvPr id="1880" name="Immagine 1879">
          <a:extLst>
            <a:ext uri="{FF2B5EF4-FFF2-40B4-BE49-F238E27FC236}">
              <a16:creationId xmlns:a16="http://schemas.microsoft.com/office/drawing/2014/main" id="{00000000-0008-0000-0000-00005807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17582830">
          <a:off x="16935450" y="16725900"/>
          <a:ext cx="180975" cy="180975"/>
        </a:xfrm>
        <a:prstGeom prst="rect">
          <a:avLst/>
        </a:prstGeom>
      </xdr:spPr>
    </xdr:pic>
    <xdr:clientData/>
  </xdr:oneCellAnchor>
  <xdr:twoCellAnchor>
    <xdr:from>
      <xdr:col>20</xdr:col>
      <xdr:colOff>38100</xdr:colOff>
      <xdr:row>0</xdr:row>
      <xdr:rowOff>28575</xdr:rowOff>
    </xdr:from>
    <xdr:to>
      <xdr:col>20</xdr:col>
      <xdr:colOff>523875</xdr:colOff>
      <xdr:row>0</xdr:row>
      <xdr:rowOff>409575</xdr:rowOff>
    </xdr:to>
    <xdr:sp macro="[0]!ApriCerca" textlink="">
      <xdr:nvSpPr>
        <xdr:cNvPr id="1884" name="Rettangolo con angoli arrotondati 1883">
          <a:extLst>
            <a:ext uri="{FF2B5EF4-FFF2-40B4-BE49-F238E27FC236}">
              <a16:creationId xmlns:a16="http://schemas.microsoft.com/office/drawing/2014/main" id="{AB60D3B7-A226-49B7-A48F-783C5F4242B7}"/>
            </a:ext>
          </a:extLst>
        </xdr:cNvPr>
        <xdr:cNvSpPr/>
      </xdr:nvSpPr>
      <xdr:spPr>
        <a:xfrm>
          <a:off x="15506700" y="28575"/>
          <a:ext cx="485775" cy="381000"/>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it-IT" sz="800" b="1"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20</xdr:col>
      <xdr:colOff>571500</xdr:colOff>
      <xdr:row>0</xdr:row>
      <xdr:rowOff>19049</xdr:rowOff>
    </xdr:from>
    <xdr:to>
      <xdr:col>23</xdr:col>
      <xdr:colOff>114299</xdr:colOff>
      <xdr:row>0</xdr:row>
      <xdr:rowOff>409574</xdr:rowOff>
    </xdr:to>
    <xdr:sp macro="[0]!salva_fine_giornata" textlink="">
      <xdr:nvSpPr>
        <xdr:cNvPr id="1886" name="Rettangolo con angoli arrotondati 1885">
          <a:extLst>
            <a:ext uri="{FF2B5EF4-FFF2-40B4-BE49-F238E27FC236}">
              <a16:creationId xmlns:a16="http://schemas.microsoft.com/office/drawing/2014/main" id="{C0A37C31-05A9-49C3-B574-E1358AA6BB5A}"/>
            </a:ext>
          </a:extLst>
        </xdr:cNvPr>
        <xdr:cNvSpPr/>
      </xdr:nvSpPr>
      <xdr:spPr>
        <a:xfrm>
          <a:off x="16040100" y="19049"/>
          <a:ext cx="1543049" cy="390525"/>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1050" b="1"/>
            <a:t>SALVA FINE GIORNATA</a:t>
          </a:r>
        </a:p>
      </xdr:txBody>
    </xdr:sp>
    <xdr:clientData/>
  </xdr:twoCellAnchor>
  <xdr:twoCellAnchor editAs="oneCell">
    <xdr:from>
      <xdr:col>20</xdr:col>
      <xdr:colOff>133349</xdr:colOff>
      <xdr:row>0</xdr:row>
      <xdr:rowOff>57150</xdr:rowOff>
    </xdr:from>
    <xdr:to>
      <xdr:col>20</xdr:col>
      <xdr:colOff>447674</xdr:colOff>
      <xdr:row>0</xdr:row>
      <xdr:rowOff>371475</xdr:rowOff>
    </xdr:to>
    <xdr:pic>
      <xdr:nvPicPr>
        <xdr:cNvPr id="1888" name="Elemento grafico 1887" descr="Lente di ingrandimento con riempimento a tinta unita">
          <a:extLst>
            <a:ext uri="{FF2B5EF4-FFF2-40B4-BE49-F238E27FC236}">
              <a16:creationId xmlns:a16="http://schemas.microsoft.com/office/drawing/2014/main" id="{4FB543D5-4554-E6D1-A32C-F266431051A1}"/>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5601949" y="57150"/>
          <a:ext cx="314325" cy="314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7408</xdr:colOff>
      <xdr:row>7</xdr:row>
      <xdr:rowOff>19049</xdr:rowOff>
    </xdr:from>
    <xdr:to>
      <xdr:col>18</xdr:col>
      <xdr:colOff>600075</xdr:colOff>
      <xdr:row>24</xdr:row>
      <xdr:rowOff>123824</xdr:rowOff>
    </xdr:to>
    <xdr:pic>
      <xdr:nvPicPr>
        <xdr:cNvPr id="4" name="Immagin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69933" y="1457324"/>
          <a:ext cx="6079067" cy="3419475"/>
        </a:xfrm>
        <a:prstGeom prst="rect">
          <a:avLst/>
        </a:prstGeom>
      </xdr:spPr>
    </xdr:pic>
    <xdr:clientData/>
  </xdr:twoCellAnchor>
  <xdr:twoCellAnchor editAs="oneCell">
    <xdr:from>
      <xdr:col>5</xdr:col>
      <xdr:colOff>447675</xdr:colOff>
      <xdr:row>0</xdr:row>
      <xdr:rowOff>114300</xdr:rowOff>
    </xdr:from>
    <xdr:to>
      <xdr:col>5</xdr:col>
      <xdr:colOff>600075</xdr:colOff>
      <xdr:row>1</xdr:row>
      <xdr:rowOff>76200</xdr:rowOff>
    </xdr:to>
    <xdr:pic>
      <xdr:nvPicPr>
        <xdr:cNvPr id="9" name="Immagin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05150" y="114300"/>
          <a:ext cx="152400" cy="152400"/>
        </a:xfrm>
        <a:prstGeom prst="rect">
          <a:avLst/>
        </a:prstGeom>
      </xdr:spPr>
    </xdr:pic>
    <xdr:clientData/>
  </xdr:twoCellAnchor>
  <xdr:twoCellAnchor editAs="oneCell">
    <xdr:from>
      <xdr:col>13</xdr:col>
      <xdr:colOff>390525</xdr:colOff>
      <xdr:row>0</xdr:row>
      <xdr:rowOff>123825</xdr:rowOff>
    </xdr:from>
    <xdr:to>
      <xdr:col>13</xdr:col>
      <xdr:colOff>542925</xdr:colOff>
      <xdr:row>1</xdr:row>
      <xdr:rowOff>85725</xdr:rowOff>
    </xdr:to>
    <xdr:pic>
      <xdr:nvPicPr>
        <xdr:cNvPr id="10" name="Immagin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91450" y="123825"/>
          <a:ext cx="152400" cy="152400"/>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324" Type="http://schemas.openxmlformats.org/officeDocument/2006/relationships/ctrlProp" Target="../ctrlProps/ctrlProp321.xml"/><Relationship Id="rId531" Type="http://schemas.openxmlformats.org/officeDocument/2006/relationships/ctrlProp" Target="../ctrlProps/ctrlProp528.xml"/><Relationship Id="rId170" Type="http://schemas.openxmlformats.org/officeDocument/2006/relationships/ctrlProp" Target="../ctrlProps/ctrlProp167.xml"/><Relationship Id="rId268" Type="http://schemas.openxmlformats.org/officeDocument/2006/relationships/ctrlProp" Target="../ctrlProps/ctrlProp265.xml"/><Relationship Id="rId475" Type="http://schemas.openxmlformats.org/officeDocument/2006/relationships/ctrlProp" Target="../ctrlProps/ctrlProp472.xml"/><Relationship Id="rId32" Type="http://schemas.openxmlformats.org/officeDocument/2006/relationships/ctrlProp" Target="../ctrlProps/ctrlProp29.xml"/><Relationship Id="rId128" Type="http://schemas.openxmlformats.org/officeDocument/2006/relationships/ctrlProp" Target="../ctrlProps/ctrlProp125.xml"/><Relationship Id="rId335" Type="http://schemas.openxmlformats.org/officeDocument/2006/relationships/ctrlProp" Target="../ctrlProps/ctrlProp332.xml"/><Relationship Id="rId542" Type="http://schemas.openxmlformats.org/officeDocument/2006/relationships/ctrlProp" Target="../ctrlProps/ctrlProp539.xml"/><Relationship Id="rId181" Type="http://schemas.openxmlformats.org/officeDocument/2006/relationships/ctrlProp" Target="../ctrlProps/ctrlProp178.xml"/><Relationship Id="rId402" Type="http://schemas.openxmlformats.org/officeDocument/2006/relationships/ctrlProp" Target="../ctrlProps/ctrlProp399.xml"/><Relationship Id="rId279" Type="http://schemas.openxmlformats.org/officeDocument/2006/relationships/ctrlProp" Target="../ctrlProps/ctrlProp276.xml"/><Relationship Id="rId486" Type="http://schemas.openxmlformats.org/officeDocument/2006/relationships/ctrlProp" Target="../ctrlProps/ctrlProp483.xml"/><Relationship Id="rId43" Type="http://schemas.openxmlformats.org/officeDocument/2006/relationships/ctrlProp" Target="../ctrlProps/ctrlProp40.xml"/><Relationship Id="rId139" Type="http://schemas.openxmlformats.org/officeDocument/2006/relationships/ctrlProp" Target="../ctrlProps/ctrlProp136.xml"/><Relationship Id="rId346" Type="http://schemas.openxmlformats.org/officeDocument/2006/relationships/ctrlProp" Target="../ctrlProps/ctrlProp343.xml"/><Relationship Id="rId553" Type="http://schemas.openxmlformats.org/officeDocument/2006/relationships/ctrlProp" Target="../ctrlProps/ctrlProp550.xml"/><Relationship Id="rId192" Type="http://schemas.openxmlformats.org/officeDocument/2006/relationships/ctrlProp" Target="../ctrlProps/ctrlProp189.xml"/><Relationship Id="rId206" Type="http://schemas.openxmlformats.org/officeDocument/2006/relationships/ctrlProp" Target="../ctrlProps/ctrlProp203.xml"/><Relationship Id="rId413" Type="http://schemas.openxmlformats.org/officeDocument/2006/relationships/ctrlProp" Target="../ctrlProps/ctrlProp410.xml"/><Relationship Id="rId497" Type="http://schemas.openxmlformats.org/officeDocument/2006/relationships/ctrlProp" Target="../ctrlProps/ctrlProp494.xml"/><Relationship Id="rId357" Type="http://schemas.openxmlformats.org/officeDocument/2006/relationships/ctrlProp" Target="../ctrlProps/ctrlProp354.xml"/><Relationship Id="rId54" Type="http://schemas.openxmlformats.org/officeDocument/2006/relationships/ctrlProp" Target="../ctrlProps/ctrlProp51.xml"/><Relationship Id="rId217" Type="http://schemas.openxmlformats.org/officeDocument/2006/relationships/ctrlProp" Target="../ctrlProps/ctrlProp214.xml"/><Relationship Id="rId564" Type="http://schemas.openxmlformats.org/officeDocument/2006/relationships/ctrlProp" Target="../ctrlProps/ctrlProp561.xml"/><Relationship Id="rId424" Type="http://schemas.openxmlformats.org/officeDocument/2006/relationships/ctrlProp" Target="../ctrlProps/ctrlProp421.xml"/><Relationship Id="rId270" Type="http://schemas.openxmlformats.org/officeDocument/2006/relationships/ctrlProp" Target="../ctrlProps/ctrlProp267.xml"/><Relationship Id="rId65" Type="http://schemas.openxmlformats.org/officeDocument/2006/relationships/ctrlProp" Target="../ctrlProps/ctrlProp62.xml"/><Relationship Id="rId130" Type="http://schemas.openxmlformats.org/officeDocument/2006/relationships/ctrlProp" Target="../ctrlProps/ctrlProp127.xml"/><Relationship Id="rId368" Type="http://schemas.openxmlformats.org/officeDocument/2006/relationships/ctrlProp" Target="../ctrlProps/ctrlProp365.xml"/><Relationship Id="rId575" Type="http://schemas.openxmlformats.org/officeDocument/2006/relationships/ctrlProp" Target="../ctrlProps/ctrlProp572.xml"/><Relationship Id="rId228" Type="http://schemas.openxmlformats.org/officeDocument/2006/relationships/ctrlProp" Target="../ctrlProps/ctrlProp225.xml"/><Relationship Id="rId435" Type="http://schemas.openxmlformats.org/officeDocument/2006/relationships/ctrlProp" Target="../ctrlProps/ctrlProp432.xml"/><Relationship Id="rId281" Type="http://schemas.openxmlformats.org/officeDocument/2006/relationships/ctrlProp" Target="../ctrlProps/ctrlProp278.xml"/><Relationship Id="rId502" Type="http://schemas.openxmlformats.org/officeDocument/2006/relationships/ctrlProp" Target="../ctrlProps/ctrlProp499.xml"/><Relationship Id="rId76" Type="http://schemas.openxmlformats.org/officeDocument/2006/relationships/ctrlProp" Target="../ctrlProps/ctrlProp73.xml"/><Relationship Id="rId141" Type="http://schemas.openxmlformats.org/officeDocument/2006/relationships/ctrlProp" Target="../ctrlProps/ctrlProp138.xml"/><Relationship Id="rId379" Type="http://schemas.openxmlformats.org/officeDocument/2006/relationships/ctrlProp" Target="../ctrlProps/ctrlProp376.xml"/><Relationship Id="rId586" Type="http://schemas.openxmlformats.org/officeDocument/2006/relationships/ctrlProp" Target="../ctrlProps/ctrlProp583.xml"/><Relationship Id="rId7" Type="http://schemas.openxmlformats.org/officeDocument/2006/relationships/ctrlProp" Target="../ctrlProps/ctrlProp4.xml"/><Relationship Id="rId239" Type="http://schemas.openxmlformats.org/officeDocument/2006/relationships/ctrlProp" Target="../ctrlProps/ctrlProp236.xml"/><Relationship Id="rId446" Type="http://schemas.openxmlformats.org/officeDocument/2006/relationships/ctrlProp" Target="../ctrlProps/ctrlProp443.xml"/><Relationship Id="rId292" Type="http://schemas.openxmlformats.org/officeDocument/2006/relationships/ctrlProp" Target="../ctrlProps/ctrlProp289.xml"/><Relationship Id="rId306" Type="http://schemas.openxmlformats.org/officeDocument/2006/relationships/ctrlProp" Target="../ctrlProps/ctrlProp303.xml"/><Relationship Id="rId87" Type="http://schemas.openxmlformats.org/officeDocument/2006/relationships/ctrlProp" Target="../ctrlProps/ctrlProp84.xml"/><Relationship Id="rId513" Type="http://schemas.openxmlformats.org/officeDocument/2006/relationships/ctrlProp" Target="../ctrlProps/ctrlProp510.xml"/><Relationship Id="rId597" Type="http://schemas.openxmlformats.org/officeDocument/2006/relationships/ctrlProp" Target="../ctrlProps/ctrlProp594.xml"/><Relationship Id="rId152" Type="http://schemas.openxmlformats.org/officeDocument/2006/relationships/ctrlProp" Target="../ctrlProps/ctrlProp149.xml"/><Relationship Id="rId457" Type="http://schemas.openxmlformats.org/officeDocument/2006/relationships/ctrlProp" Target="../ctrlProps/ctrlProp454.xml"/><Relationship Id="rId14" Type="http://schemas.openxmlformats.org/officeDocument/2006/relationships/ctrlProp" Target="../ctrlProps/ctrlProp11.xml"/><Relationship Id="rId317" Type="http://schemas.openxmlformats.org/officeDocument/2006/relationships/ctrlProp" Target="../ctrlProps/ctrlProp314.xml"/><Relationship Id="rId524" Type="http://schemas.openxmlformats.org/officeDocument/2006/relationships/ctrlProp" Target="../ctrlProps/ctrlProp521.xml"/><Relationship Id="rId98" Type="http://schemas.openxmlformats.org/officeDocument/2006/relationships/ctrlProp" Target="../ctrlProps/ctrlProp95.xml"/><Relationship Id="rId121" Type="http://schemas.openxmlformats.org/officeDocument/2006/relationships/ctrlProp" Target="../ctrlProps/ctrlProp118.xml"/><Relationship Id="rId163" Type="http://schemas.openxmlformats.org/officeDocument/2006/relationships/ctrlProp" Target="../ctrlProps/ctrlProp160.xml"/><Relationship Id="rId219" Type="http://schemas.openxmlformats.org/officeDocument/2006/relationships/ctrlProp" Target="../ctrlProps/ctrlProp216.xml"/><Relationship Id="rId370" Type="http://schemas.openxmlformats.org/officeDocument/2006/relationships/ctrlProp" Target="../ctrlProps/ctrlProp367.xml"/><Relationship Id="rId426" Type="http://schemas.openxmlformats.org/officeDocument/2006/relationships/ctrlProp" Target="../ctrlProps/ctrlProp423.xml"/><Relationship Id="rId230" Type="http://schemas.openxmlformats.org/officeDocument/2006/relationships/ctrlProp" Target="../ctrlProps/ctrlProp227.xml"/><Relationship Id="rId468" Type="http://schemas.openxmlformats.org/officeDocument/2006/relationships/ctrlProp" Target="../ctrlProps/ctrlProp465.xml"/><Relationship Id="rId25" Type="http://schemas.openxmlformats.org/officeDocument/2006/relationships/ctrlProp" Target="../ctrlProps/ctrlProp22.xml"/><Relationship Id="rId67" Type="http://schemas.openxmlformats.org/officeDocument/2006/relationships/ctrlProp" Target="../ctrlProps/ctrlProp64.xml"/><Relationship Id="rId272" Type="http://schemas.openxmlformats.org/officeDocument/2006/relationships/ctrlProp" Target="../ctrlProps/ctrlProp269.xml"/><Relationship Id="rId328" Type="http://schemas.openxmlformats.org/officeDocument/2006/relationships/ctrlProp" Target="../ctrlProps/ctrlProp325.xml"/><Relationship Id="rId535" Type="http://schemas.openxmlformats.org/officeDocument/2006/relationships/ctrlProp" Target="../ctrlProps/ctrlProp532.xml"/><Relationship Id="rId577" Type="http://schemas.openxmlformats.org/officeDocument/2006/relationships/ctrlProp" Target="../ctrlProps/ctrlProp574.xml"/><Relationship Id="rId132" Type="http://schemas.openxmlformats.org/officeDocument/2006/relationships/ctrlProp" Target="../ctrlProps/ctrlProp129.xml"/><Relationship Id="rId174" Type="http://schemas.openxmlformats.org/officeDocument/2006/relationships/ctrlProp" Target="../ctrlProps/ctrlProp171.xml"/><Relationship Id="rId381" Type="http://schemas.openxmlformats.org/officeDocument/2006/relationships/ctrlProp" Target="../ctrlProps/ctrlProp378.xml"/><Relationship Id="rId602" Type="http://schemas.openxmlformats.org/officeDocument/2006/relationships/ctrlProp" Target="../ctrlProps/ctrlProp599.xml"/><Relationship Id="rId241" Type="http://schemas.openxmlformats.org/officeDocument/2006/relationships/ctrlProp" Target="../ctrlProps/ctrlProp238.xml"/><Relationship Id="rId437" Type="http://schemas.openxmlformats.org/officeDocument/2006/relationships/ctrlProp" Target="../ctrlProps/ctrlProp434.xml"/><Relationship Id="rId479" Type="http://schemas.openxmlformats.org/officeDocument/2006/relationships/ctrlProp" Target="../ctrlProps/ctrlProp476.xml"/><Relationship Id="rId36" Type="http://schemas.openxmlformats.org/officeDocument/2006/relationships/ctrlProp" Target="../ctrlProps/ctrlProp33.xml"/><Relationship Id="rId283" Type="http://schemas.openxmlformats.org/officeDocument/2006/relationships/ctrlProp" Target="../ctrlProps/ctrlProp280.xml"/><Relationship Id="rId339" Type="http://schemas.openxmlformats.org/officeDocument/2006/relationships/ctrlProp" Target="../ctrlProps/ctrlProp336.xml"/><Relationship Id="rId490" Type="http://schemas.openxmlformats.org/officeDocument/2006/relationships/ctrlProp" Target="../ctrlProps/ctrlProp487.xml"/><Relationship Id="rId504" Type="http://schemas.openxmlformats.org/officeDocument/2006/relationships/ctrlProp" Target="../ctrlProps/ctrlProp501.xml"/><Relationship Id="rId546" Type="http://schemas.openxmlformats.org/officeDocument/2006/relationships/ctrlProp" Target="../ctrlProps/ctrlProp543.xml"/><Relationship Id="rId78" Type="http://schemas.openxmlformats.org/officeDocument/2006/relationships/ctrlProp" Target="../ctrlProps/ctrlProp75.xml"/><Relationship Id="rId101" Type="http://schemas.openxmlformats.org/officeDocument/2006/relationships/ctrlProp" Target="../ctrlProps/ctrlProp98.xml"/><Relationship Id="rId143" Type="http://schemas.openxmlformats.org/officeDocument/2006/relationships/ctrlProp" Target="../ctrlProps/ctrlProp140.xml"/><Relationship Id="rId185" Type="http://schemas.openxmlformats.org/officeDocument/2006/relationships/ctrlProp" Target="../ctrlProps/ctrlProp182.xml"/><Relationship Id="rId350" Type="http://schemas.openxmlformats.org/officeDocument/2006/relationships/ctrlProp" Target="../ctrlProps/ctrlProp347.xml"/><Relationship Id="rId406" Type="http://schemas.openxmlformats.org/officeDocument/2006/relationships/ctrlProp" Target="../ctrlProps/ctrlProp403.xml"/><Relationship Id="rId588" Type="http://schemas.openxmlformats.org/officeDocument/2006/relationships/ctrlProp" Target="../ctrlProps/ctrlProp585.xml"/><Relationship Id="rId9" Type="http://schemas.openxmlformats.org/officeDocument/2006/relationships/ctrlProp" Target="../ctrlProps/ctrlProp6.xml"/><Relationship Id="rId210" Type="http://schemas.openxmlformats.org/officeDocument/2006/relationships/ctrlProp" Target="../ctrlProps/ctrlProp207.xml"/><Relationship Id="rId392" Type="http://schemas.openxmlformats.org/officeDocument/2006/relationships/ctrlProp" Target="../ctrlProps/ctrlProp389.xml"/><Relationship Id="rId448" Type="http://schemas.openxmlformats.org/officeDocument/2006/relationships/ctrlProp" Target="../ctrlProps/ctrlProp445.xml"/><Relationship Id="rId252" Type="http://schemas.openxmlformats.org/officeDocument/2006/relationships/ctrlProp" Target="../ctrlProps/ctrlProp249.xml"/><Relationship Id="rId294" Type="http://schemas.openxmlformats.org/officeDocument/2006/relationships/ctrlProp" Target="../ctrlProps/ctrlProp291.xml"/><Relationship Id="rId308" Type="http://schemas.openxmlformats.org/officeDocument/2006/relationships/ctrlProp" Target="../ctrlProps/ctrlProp305.xml"/><Relationship Id="rId515" Type="http://schemas.openxmlformats.org/officeDocument/2006/relationships/ctrlProp" Target="../ctrlProps/ctrlProp512.xml"/><Relationship Id="rId47" Type="http://schemas.openxmlformats.org/officeDocument/2006/relationships/ctrlProp" Target="../ctrlProps/ctrlProp44.xml"/><Relationship Id="rId89" Type="http://schemas.openxmlformats.org/officeDocument/2006/relationships/ctrlProp" Target="../ctrlProps/ctrlProp86.xml"/><Relationship Id="rId112" Type="http://schemas.openxmlformats.org/officeDocument/2006/relationships/ctrlProp" Target="../ctrlProps/ctrlProp109.xml"/><Relationship Id="rId154" Type="http://schemas.openxmlformats.org/officeDocument/2006/relationships/ctrlProp" Target="../ctrlProps/ctrlProp151.xml"/><Relationship Id="rId361" Type="http://schemas.openxmlformats.org/officeDocument/2006/relationships/ctrlProp" Target="../ctrlProps/ctrlProp358.xml"/><Relationship Id="rId557" Type="http://schemas.openxmlformats.org/officeDocument/2006/relationships/ctrlProp" Target="../ctrlProps/ctrlProp554.xml"/><Relationship Id="rId599" Type="http://schemas.openxmlformats.org/officeDocument/2006/relationships/ctrlProp" Target="../ctrlProps/ctrlProp596.xml"/><Relationship Id="rId196" Type="http://schemas.openxmlformats.org/officeDocument/2006/relationships/ctrlProp" Target="../ctrlProps/ctrlProp193.xml"/><Relationship Id="rId417" Type="http://schemas.openxmlformats.org/officeDocument/2006/relationships/ctrlProp" Target="../ctrlProps/ctrlProp414.xml"/><Relationship Id="rId459" Type="http://schemas.openxmlformats.org/officeDocument/2006/relationships/ctrlProp" Target="../ctrlProps/ctrlProp456.xml"/><Relationship Id="rId16" Type="http://schemas.openxmlformats.org/officeDocument/2006/relationships/ctrlProp" Target="../ctrlProps/ctrlProp13.xml"/><Relationship Id="rId221" Type="http://schemas.openxmlformats.org/officeDocument/2006/relationships/ctrlProp" Target="../ctrlProps/ctrlProp218.xml"/><Relationship Id="rId263" Type="http://schemas.openxmlformats.org/officeDocument/2006/relationships/ctrlProp" Target="../ctrlProps/ctrlProp260.xml"/><Relationship Id="rId319" Type="http://schemas.openxmlformats.org/officeDocument/2006/relationships/ctrlProp" Target="../ctrlProps/ctrlProp316.xml"/><Relationship Id="rId470" Type="http://schemas.openxmlformats.org/officeDocument/2006/relationships/ctrlProp" Target="../ctrlProps/ctrlProp467.xml"/><Relationship Id="rId526" Type="http://schemas.openxmlformats.org/officeDocument/2006/relationships/ctrlProp" Target="../ctrlProps/ctrlProp523.xml"/><Relationship Id="rId58" Type="http://schemas.openxmlformats.org/officeDocument/2006/relationships/ctrlProp" Target="../ctrlProps/ctrlProp55.xml"/><Relationship Id="rId123" Type="http://schemas.openxmlformats.org/officeDocument/2006/relationships/ctrlProp" Target="../ctrlProps/ctrlProp120.xml"/><Relationship Id="rId330" Type="http://schemas.openxmlformats.org/officeDocument/2006/relationships/ctrlProp" Target="../ctrlProps/ctrlProp327.xml"/><Relationship Id="rId568" Type="http://schemas.openxmlformats.org/officeDocument/2006/relationships/ctrlProp" Target="../ctrlProps/ctrlProp565.xml"/><Relationship Id="rId165" Type="http://schemas.openxmlformats.org/officeDocument/2006/relationships/ctrlProp" Target="../ctrlProps/ctrlProp162.xml"/><Relationship Id="rId372" Type="http://schemas.openxmlformats.org/officeDocument/2006/relationships/ctrlProp" Target="../ctrlProps/ctrlProp369.xml"/><Relationship Id="rId428" Type="http://schemas.openxmlformats.org/officeDocument/2006/relationships/ctrlProp" Target="../ctrlProps/ctrlProp425.xml"/><Relationship Id="rId232" Type="http://schemas.openxmlformats.org/officeDocument/2006/relationships/ctrlProp" Target="../ctrlProps/ctrlProp229.xml"/><Relationship Id="rId274" Type="http://schemas.openxmlformats.org/officeDocument/2006/relationships/ctrlProp" Target="../ctrlProps/ctrlProp271.xml"/><Relationship Id="rId481" Type="http://schemas.openxmlformats.org/officeDocument/2006/relationships/ctrlProp" Target="../ctrlProps/ctrlProp478.xml"/><Relationship Id="rId27" Type="http://schemas.openxmlformats.org/officeDocument/2006/relationships/ctrlProp" Target="../ctrlProps/ctrlProp24.xml"/><Relationship Id="rId69" Type="http://schemas.openxmlformats.org/officeDocument/2006/relationships/ctrlProp" Target="../ctrlProps/ctrlProp66.xml"/><Relationship Id="rId134" Type="http://schemas.openxmlformats.org/officeDocument/2006/relationships/ctrlProp" Target="../ctrlProps/ctrlProp131.xml"/><Relationship Id="rId537" Type="http://schemas.openxmlformats.org/officeDocument/2006/relationships/ctrlProp" Target="../ctrlProps/ctrlProp534.xml"/><Relationship Id="rId579" Type="http://schemas.openxmlformats.org/officeDocument/2006/relationships/ctrlProp" Target="../ctrlProps/ctrlProp576.xml"/><Relationship Id="rId80" Type="http://schemas.openxmlformats.org/officeDocument/2006/relationships/ctrlProp" Target="../ctrlProps/ctrlProp77.xml"/><Relationship Id="rId176" Type="http://schemas.openxmlformats.org/officeDocument/2006/relationships/ctrlProp" Target="../ctrlProps/ctrlProp173.xml"/><Relationship Id="rId341" Type="http://schemas.openxmlformats.org/officeDocument/2006/relationships/ctrlProp" Target="../ctrlProps/ctrlProp338.xml"/><Relationship Id="rId383" Type="http://schemas.openxmlformats.org/officeDocument/2006/relationships/ctrlProp" Target="../ctrlProps/ctrlProp380.xml"/><Relationship Id="rId439" Type="http://schemas.openxmlformats.org/officeDocument/2006/relationships/ctrlProp" Target="../ctrlProps/ctrlProp436.xml"/><Relationship Id="rId590" Type="http://schemas.openxmlformats.org/officeDocument/2006/relationships/ctrlProp" Target="../ctrlProps/ctrlProp587.xml"/><Relationship Id="rId604" Type="http://schemas.openxmlformats.org/officeDocument/2006/relationships/ctrlProp" Target="../ctrlProps/ctrlProp601.xml"/><Relationship Id="rId201" Type="http://schemas.openxmlformats.org/officeDocument/2006/relationships/ctrlProp" Target="../ctrlProps/ctrlProp198.xml"/><Relationship Id="rId243" Type="http://schemas.openxmlformats.org/officeDocument/2006/relationships/ctrlProp" Target="../ctrlProps/ctrlProp240.xml"/><Relationship Id="rId285" Type="http://schemas.openxmlformats.org/officeDocument/2006/relationships/ctrlProp" Target="../ctrlProps/ctrlProp282.xml"/><Relationship Id="rId450" Type="http://schemas.openxmlformats.org/officeDocument/2006/relationships/ctrlProp" Target="../ctrlProps/ctrlProp447.xml"/><Relationship Id="rId506" Type="http://schemas.openxmlformats.org/officeDocument/2006/relationships/ctrlProp" Target="../ctrlProps/ctrlProp503.xml"/><Relationship Id="rId38" Type="http://schemas.openxmlformats.org/officeDocument/2006/relationships/ctrlProp" Target="../ctrlProps/ctrlProp35.xml"/><Relationship Id="rId103" Type="http://schemas.openxmlformats.org/officeDocument/2006/relationships/ctrlProp" Target="../ctrlProps/ctrlProp100.xml"/><Relationship Id="rId310" Type="http://schemas.openxmlformats.org/officeDocument/2006/relationships/ctrlProp" Target="../ctrlProps/ctrlProp307.xml"/><Relationship Id="rId492" Type="http://schemas.openxmlformats.org/officeDocument/2006/relationships/ctrlProp" Target="../ctrlProps/ctrlProp489.xml"/><Relationship Id="rId548" Type="http://schemas.openxmlformats.org/officeDocument/2006/relationships/ctrlProp" Target="../ctrlProps/ctrlProp545.xml"/><Relationship Id="rId91" Type="http://schemas.openxmlformats.org/officeDocument/2006/relationships/ctrlProp" Target="../ctrlProps/ctrlProp88.xml"/><Relationship Id="rId145" Type="http://schemas.openxmlformats.org/officeDocument/2006/relationships/ctrlProp" Target="../ctrlProps/ctrlProp142.xml"/><Relationship Id="rId187" Type="http://schemas.openxmlformats.org/officeDocument/2006/relationships/ctrlProp" Target="../ctrlProps/ctrlProp184.xml"/><Relationship Id="rId352" Type="http://schemas.openxmlformats.org/officeDocument/2006/relationships/ctrlProp" Target="../ctrlProps/ctrlProp349.xml"/><Relationship Id="rId394" Type="http://schemas.openxmlformats.org/officeDocument/2006/relationships/ctrlProp" Target="../ctrlProps/ctrlProp391.xml"/><Relationship Id="rId408" Type="http://schemas.openxmlformats.org/officeDocument/2006/relationships/ctrlProp" Target="../ctrlProps/ctrlProp405.xml"/><Relationship Id="rId212" Type="http://schemas.openxmlformats.org/officeDocument/2006/relationships/ctrlProp" Target="../ctrlProps/ctrlProp209.xml"/><Relationship Id="rId254" Type="http://schemas.openxmlformats.org/officeDocument/2006/relationships/ctrlProp" Target="../ctrlProps/ctrlProp251.xml"/><Relationship Id="rId49" Type="http://schemas.openxmlformats.org/officeDocument/2006/relationships/ctrlProp" Target="../ctrlProps/ctrlProp46.xml"/><Relationship Id="rId114" Type="http://schemas.openxmlformats.org/officeDocument/2006/relationships/ctrlProp" Target="../ctrlProps/ctrlProp111.xml"/><Relationship Id="rId296" Type="http://schemas.openxmlformats.org/officeDocument/2006/relationships/ctrlProp" Target="../ctrlProps/ctrlProp293.xml"/><Relationship Id="rId461" Type="http://schemas.openxmlformats.org/officeDocument/2006/relationships/ctrlProp" Target="../ctrlProps/ctrlProp458.xml"/><Relationship Id="rId517" Type="http://schemas.openxmlformats.org/officeDocument/2006/relationships/ctrlProp" Target="../ctrlProps/ctrlProp514.xml"/><Relationship Id="rId559" Type="http://schemas.openxmlformats.org/officeDocument/2006/relationships/ctrlProp" Target="../ctrlProps/ctrlProp556.xml"/><Relationship Id="rId60" Type="http://schemas.openxmlformats.org/officeDocument/2006/relationships/ctrlProp" Target="../ctrlProps/ctrlProp57.xml"/><Relationship Id="rId156" Type="http://schemas.openxmlformats.org/officeDocument/2006/relationships/ctrlProp" Target="../ctrlProps/ctrlProp153.xml"/><Relationship Id="rId198" Type="http://schemas.openxmlformats.org/officeDocument/2006/relationships/ctrlProp" Target="../ctrlProps/ctrlProp195.xml"/><Relationship Id="rId321" Type="http://schemas.openxmlformats.org/officeDocument/2006/relationships/ctrlProp" Target="../ctrlProps/ctrlProp318.xml"/><Relationship Id="rId363" Type="http://schemas.openxmlformats.org/officeDocument/2006/relationships/ctrlProp" Target="../ctrlProps/ctrlProp360.xml"/><Relationship Id="rId419" Type="http://schemas.openxmlformats.org/officeDocument/2006/relationships/ctrlProp" Target="../ctrlProps/ctrlProp416.xml"/><Relationship Id="rId570" Type="http://schemas.openxmlformats.org/officeDocument/2006/relationships/ctrlProp" Target="../ctrlProps/ctrlProp567.xml"/><Relationship Id="rId223" Type="http://schemas.openxmlformats.org/officeDocument/2006/relationships/ctrlProp" Target="../ctrlProps/ctrlProp220.xml"/><Relationship Id="rId430" Type="http://schemas.openxmlformats.org/officeDocument/2006/relationships/ctrlProp" Target="../ctrlProps/ctrlProp427.xml"/><Relationship Id="rId18" Type="http://schemas.openxmlformats.org/officeDocument/2006/relationships/ctrlProp" Target="../ctrlProps/ctrlProp15.xml"/><Relationship Id="rId265" Type="http://schemas.openxmlformats.org/officeDocument/2006/relationships/ctrlProp" Target="../ctrlProps/ctrlProp262.xml"/><Relationship Id="rId472" Type="http://schemas.openxmlformats.org/officeDocument/2006/relationships/ctrlProp" Target="../ctrlProps/ctrlProp469.xml"/><Relationship Id="rId528" Type="http://schemas.openxmlformats.org/officeDocument/2006/relationships/ctrlProp" Target="../ctrlProps/ctrlProp525.xml"/><Relationship Id="rId125" Type="http://schemas.openxmlformats.org/officeDocument/2006/relationships/ctrlProp" Target="../ctrlProps/ctrlProp122.xml"/><Relationship Id="rId167" Type="http://schemas.openxmlformats.org/officeDocument/2006/relationships/ctrlProp" Target="../ctrlProps/ctrlProp164.xml"/><Relationship Id="rId332" Type="http://schemas.openxmlformats.org/officeDocument/2006/relationships/ctrlProp" Target="../ctrlProps/ctrlProp329.xml"/><Relationship Id="rId374" Type="http://schemas.openxmlformats.org/officeDocument/2006/relationships/ctrlProp" Target="../ctrlProps/ctrlProp371.xml"/><Relationship Id="rId581" Type="http://schemas.openxmlformats.org/officeDocument/2006/relationships/ctrlProp" Target="../ctrlProps/ctrlProp578.xml"/><Relationship Id="rId71" Type="http://schemas.openxmlformats.org/officeDocument/2006/relationships/ctrlProp" Target="../ctrlProps/ctrlProp68.xml"/><Relationship Id="rId234" Type="http://schemas.openxmlformats.org/officeDocument/2006/relationships/ctrlProp" Target="../ctrlProps/ctrlProp231.xml"/><Relationship Id="rId2" Type="http://schemas.openxmlformats.org/officeDocument/2006/relationships/drawing" Target="../drawings/drawing1.xml"/><Relationship Id="rId29" Type="http://schemas.openxmlformats.org/officeDocument/2006/relationships/ctrlProp" Target="../ctrlProps/ctrlProp26.xml"/><Relationship Id="rId276" Type="http://schemas.openxmlformats.org/officeDocument/2006/relationships/ctrlProp" Target="../ctrlProps/ctrlProp273.xml"/><Relationship Id="rId441" Type="http://schemas.openxmlformats.org/officeDocument/2006/relationships/ctrlProp" Target="../ctrlProps/ctrlProp438.xml"/><Relationship Id="rId483" Type="http://schemas.openxmlformats.org/officeDocument/2006/relationships/ctrlProp" Target="../ctrlProps/ctrlProp480.xml"/><Relationship Id="rId539" Type="http://schemas.openxmlformats.org/officeDocument/2006/relationships/ctrlProp" Target="../ctrlProps/ctrlProp536.xml"/><Relationship Id="rId40" Type="http://schemas.openxmlformats.org/officeDocument/2006/relationships/ctrlProp" Target="../ctrlProps/ctrlProp37.xml"/><Relationship Id="rId136" Type="http://schemas.openxmlformats.org/officeDocument/2006/relationships/ctrlProp" Target="../ctrlProps/ctrlProp133.xml"/><Relationship Id="rId178" Type="http://schemas.openxmlformats.org/officeDocument/2006/relationships/ctrlProp" Target="../ctrlProps/ctrlProp175.xml"/><Relationship Id="rId301" Type="http://schemas.openxmlformats.org/officeDocument/2006/relationships/ctrlProp" Target="../ctrlProps/ctrlProp298.xml"/><Relationship Id="rId343" Type="http://schemas.openxmlformats.org/officeDocument/2006/relationships/ctrlProp" Target="../ctrlProps/ctrlProp340.xml"/><Relationship Id="rId550" Type="http://schemas.openxmlformats.org/officeDocument/2006/relationships/ctrlProp" Target="../ctrlProps/ctrlProp547.xml"/><Relationship Id="rId82" Type="http://schemas.openxmlformats.org/officeDocument/2006/relationships/ctrlProp" Target="../ctrlProps/ctrlProp79.xml"/><Relationship Id="rId203" Type="http://schemas.openxmlformats.org/officeDocument/2006/relationships/ctrlProp" Target="../ctrlProps/ctrlProp200.xml"/><Relationship Id="rId385" Type="http://schemas.openxmlformats.org/officeDocument/2006/relationships/ctrlProp" Target="../ctrlProps/ctrlProp382.xml"/><Relationship Id="rId592" Type="http://schemas.openxmlformats.org/officeDocument/2006/relationships/ctrlProp" Target="../ctrlProps/ctrlProp589.xml"/><Relationship Id="rId606" Type="http://schemas.openxmlformats.org/officeDocument/2006/relationships/ctrlProp" Target="../ctrlProps/ctrlProp603.xml"/><Relationship Id="rId245" Type="http://schemas.openxmlformats.org/officeDocument/2006/relationships/ctrlProp" Target="../ctrlProps/ctrlProp242.xml"/><Relationship Id="rId287" Type="http://schemas.openxmlformats.org/officeDocument/2006/relationships/ctrlProp" Target="../ctrlProps/ctrlProp284.xml"/><Relationship Id="rId410" Type="http://schemas.openxmlformats.org/officeDocument/2006/relationships/ctrlProp" Target="../ctrlProps/ctrlProp407.xml"/><Relationship Id="rId452" Type="http://schemas.openxmlformats.org/officeDocument/2006/relationships/ctrlProp" Target="../ctrlProps/ctrlProp449.xml"/><Relationship Id="rId494" Type="http://schemas.openxmlformats.org/officeDocument/2006/relationships/ctrlProp" Target="../ctrlProps/ctrlProp491.xml"/><Relationship Id="rId508" Type="http://schemas.openxmlformats.org/officeDocument/2006/relationships/ctrlProp" Target="../ctrlProps/ctrlProp505.xml"/><Relationship Id="rId105" Type="http://schemas.openxmlformats.org/officeDocument/2006/relationships/ctrlProp" Target="../ctrlProps/ctrlProp102.xml"/><Relationship Id="rId147" Type="http://schemas.openxmlformats.org/officeDocument/2006/relationships/ctrlProp" Target="../ctrlProps/ctrlProp144.xml"/><Relationship Id="rId312" Type="http://schemas.openxmlformats.org/officeDocument/2006/relationships/ctrlProp" Target="../ctrlProps/ctrlProp309.xml"/><Relationship Id="rId354" Type="http://schemas.openxmlformats.org/officeDocument/2006/relationships/ctrlProp" Target="../ctrlProps/ctrlProp351.xml"/><Relationship Id="rId51" Type="http://schemas.openxmlformats.org/officeDocument/2006/relationships/ctrlProp" Target="../ctrlProps/ctrlProp48.xml"/><Relationship Id="rId93" Type="http://schemas.openxmlformats.org/officeDocument/2006/relationships/ctrlProp" Target="../ctrlProps/ctrlProp90.xml"/><Relationship Id="rId189" Type="http://schemas.openxmlformats.org/officeDocument/2006/relationships/ctrlProp" Target="../ctrlProps/ctrlProp186.xml"/><Relationship Id="rId396" Type="http://schemas.openxmlformats.org/officeDocument/2006/relationships/ctrlProp" Target="../ctrlProps/ctrlProp393.xml"/><Relationship Id="rId561" Type="http://schemas.openxmlformats.org/officeDocument/2006/relationships/ctrlProp" Target="../ctrlProps/ctrlProp558.xml"/><Relationship Id="rId214" Type="http://schemas.openxmlformats.org/officeDocument/2006/relationships/ctrlProp" Target="../ctrlProps/ctrlProp211.xml"/><Relationship Id="rId256" Type="http://schemas.openxmlformats.org/officeDocument/2006/relationships/ctrlProp" Target="../ctrlProps/ctrlProp253.xml"/><Relationship Id="rId298" Type="http://schemas.openxmlformats.org/officeDocument/2006/relationships/ctrlProp" Target="../ctrlProps/ctrlProp295.xml"/><Relationship Id="rId421" Type="http://schemas.openxmlformats.org/officeDocument/2006/relationships/ctrlProp" Target="../ctrlProps/ctrlProp418.xml"/><Relationship Id="rId463" Type="http://schemas.openxmlformats.org/officeDocument/2006/relationships/ctrlProp" Target="../ctrlProps/ctrlProp460.xml"/><Relationship Id="rId519" Type="http://schemas.openxmlformats.org/officeDocument/2006/relationships/ctrlProp" Target="../ctrlProps/ctrlProp516.xml"/><Relationship Id="rId116" Type="http://schemas.openxmlformats.org/officeDocument/2006/relationships/ctrlProp" Target="../ctrlProps/ctrlProp113.xml"/><Relationship Id="rId158" Type="http://schemas.openxmlformats.org/officeDocument/2006/relationships/ctrlProp" Target="../ctrlProps/ctrlProp155.xml"/><Relationship Id="rId323" Type="http://schemas.openxmlformats.org/officeDocument/2006/relationships/ctrlProp" Target="../ctrlProps/ctrlProp320.xml"/><Relationship Id="rId530" Type="http://schemas.openxmlformats.org/officeDocument/2006/relationships/ctrlProp" Target="../ctrlProps/ctrlProp527.xml"/><Relationship Id="rId20" Type="http://schemas.openxmlformats.org/officeDocument/2006/relationships/ctrlProp" Target="../ctrlProps/ctrlProp17.xml"/><Relationship Id="rId62" Type="http://schemas.openxmlformats.org/officeDocument/2006/relationships/ctrlProp" Target="../ctrlProps/ctrlProp59.xml"/><Relationship Id="rId365" Type="http://schemas.openxmlformats.org/officeDocument/2006/relationships/ctrlProp" Target="../ctrlProps/ctrlProp362.xml"/><Relationship Id="rId572" Type="http://schemas.openxmlformats.org/officeDocument/2006/relationships/ctrlProp" Target="../ctrlProps/ctrlProp569.xml"/><Relationship Id="rId225" Type="http://schemas.openxmlformats.org/officeDocument/2006/relationships/ctrlProp" Target="../ctrlProps/ctrlProp222.xml"/><Relationship Id="rId267" Type="http://schemas.openxmlformats.org/officeDocument/2006/relationships/ctrlProp" Target="../ctrlProps/ctrlProp264.xml"/><Relationship Id="rId432" Type="http://schemas.openxmlformats.org/officeDocument/2006/relationships/ctrlProp" Target="../ctrlProps/ctrlProp429.xml"/><Relationship Id="rId474" Type="http://schemas.openxmlformats.org/officeDocument/2006/relationships/ctrlProp" Target="../ctrlProps/ctrlProp471.xml"/><Relationship Id="rId127" Type="http://schemas.openxmlformats.org/officeDocument/2006/relationships/ctrlProp" Target="../ctrlProps/ctrlProp124.xml"/><Relationship Id="rId31" Type="http://schemas.openxmlformats.org/officeDocument/2006/relationships/ctrlProp" Target="../ctrlProps/ctrlProp28.xml"/><Relationship Id="rId73" Type="http://schemas.openxmlformats.org/officeDocument/2006/relationships/ctrlProp" Target="../ctrlProps/ctrlProp70.xml"/><Relationship Id="rId169" Type="http://schemas.openxmlformats.org/officeDocument/2006/relationships/ctrlProp" Target="../ctrlProps/ctrlProp166.xml"/><Relationship Id="rId334" Type="http://schemas.openxmlformats.org/officeDocument/2006/relationships/ctrlProp" Target="../ctrlProps/ctrlProp331.xml"/><Relationship Id="rId376" Type="http://schemas.openxmlformats.org/officeDocument/2006/relationships/ctrlProp" Target="../ctrlProps/ctrlProp373.xml"/><Relationship Id="rId541" Type="http://schemas.openxmlformats.org/officeDocument/2006/relationships/ctrlProp" Target="../ctrlProps/ctrlProp538.xml"/><Relationship Id="rId583" Type="http://schemas.openxmlformats.org/officeDocument/2006/relationships/ctrlProp" Target="../ctrlProps/ctrlProp580.xml"/><Relationship Id="rId4" Type="http://schemas.openxmlformats.org/officeDocument/2006/relationships/ctrlProp" Target="../ctrlProps/ctrlProp1.xml"/><Relationship Id="rId180" Type="http://schemas.openxmlformats.org/officeDocument/2006/relationships/ctrlProp" Target="../ctrlProps/ctrlProp177.xml"/><Relationship Id="rId236" Type="http://schemas.openxmlformats.org/officeDocument/2006/relationships/ctrlProp" Target="../ctrlProps/ctrlProp233.xml"/><Relationship Id="rId278" Type="http://schemas.openxmlformats.org/officeDocument/2006/relationships/ctrlProp" Target="../ctrlProps/ctrlProp275.xml"/><Relationship Id="rId401" Type="http://schemas.openxmlformats.org/officeDocument/2006/relationships/ctrlProp" Target="../ctrlProps/ctrlProp398.xml"/><Relationship Id="rId443" Type="http://schemas.openxmlformats.org/officeDocument/2006/relationships/ctrlProp" Target="../ctrlProps/ctrlProp440.xml"/><Relationship Id="rId303" Type="http://schemas.openxmlformats.org/officeDocument/2006/relationships/ctrlProp" Target="../ctrlProps/ctrlProp300.xml"/><Relationship Id="rId485" Type="http://schemas.openxmlformats.org/officeDocument/2006/relationships/ctrlProp" Target="../ctrlProps/ctrlProp482.xml"/><Relationship Id="rId42" Type="http://schemas.openxmlformats.org/officeDocument/2006/relationships/ctrlProp" Target="../ctrlProps/ctrlProp39.xml"/><Relationship Id="rId84" Type="http://schemas.openxmlformats.org/officeDocument/2006/relationships/ctrlProp" Target="../ctrlProps/ctrlProp81.xml"/><Relationship Id="rId138" Type="http://schemas.openxmlformats.org/officeDocument/2006/relationships/ctrlProp" Target="../ctrlProps/ctrlProp135.xml"/><Relationship Id="rId345" Type="http://schemas.openxmlformats.org/officeDocument/2006/relationships/ctrlProp" Target="../ctrlProps/ctrlProp342.xml"/><Relationship Id="rId387" Type="http://schemas.openxmlformats.org/officeDocument/2006/relationships/ctrlProp" Target="../ctrlProps/ctrlProp384.xml"/><Relationship Id="rId510" Type="http://schemas.openxmlformats.org/officeDocument/2006/relationships/ctrlProp" Target="../ctrlProps/ctrlProp507.xml"/><Relationship Id="rId552" Type="http://schemas.openxmlformats.org/officeDocument/2006/relationships/ctrlProp" Target="../ctrlProps/ctrlProp549.xml"/><Relationship Id="rId594" Type="http://schemas.openxmlformats.org/officeDocument/2006/relationships/ctrlProp" Target="../ctrlProps/ctrlProp591.xml"/><Relationship Id="rId608" Type="http://schemas.openxmlformats.org/officeDocument/2006/relationships/comments" Target="../comments1.xml"/><Relationship Id="rId191" Type="http://schemas.openxmlformats.org/officeDocument/2006/relationships/ctrlProp" Target="../ctrlProps/ctrlProp188.xml"/><Relationship Id="rId205" Type="http://schemas.openxmlformats.org/officeDocument/2006/relationships/ctrlProp" Target="../ctrlProps/ctrlProp202.xml"/><Relationship Id="rId247" Type="http://schemas.openxmlformats.org/officeDocument/2006/relationships/ctrlProp" Target="../ctrlProps/ctrlProp244.xml"/><Relationship Id="rId412" Type="http://schemas.openxmlformats.org/officeDocument/2006/relationships/ctrlProp" Target="../ctrlProps/ctrlProp409.xml"/><Relationship Id="rId107" Type="http://schemas.openxmlformats.org/officeDocument/2006/relationships/ctrlProp" Target="../ctrlProps/ctrlProp104.xml"/><Relationship Id="rId289" Type="http://schemas.openxmlformats.org/officeDocument/2006/relationships/ctrlProp" Target="../ctrlProps/ctrlProp286.xml"/><Relationship Id="rId454" Type="http://schemas.openxmlformats.org/officeDocument/2006/relationships/ctrlProp" Target="../ctrlProps/ctrlProp451.xml"/><Relationship Id="rId496" Type="http://schemas.openxmlformats.org/officeDocument/2006/relationships/ctrlProp" Target="../ctrlProps/ctrlProp493.xml"/><Relationship Id="rId11" Type="http://schemas.openxmlformats.org/officeDocument/2006/relationships/ctrlProp" Target="../ctrlProps/ctrlProp8.xml"/><Relationship Id="rId53" Type="http://schemas.openxmlformats.org/officeDocument/2006/relationships/ctrlProp" Target="../ctrlProps/ctrlProp50.xml"/><Relationship Id="rId149" Type="http://schemas.openxmlformats.org/officeDocument/2006/relationships/ctrlProp" Target="../ctrlProps/ctrlProp146.xml"/><Relationship Id="rId314" Type="http://schemas.openxmlformats.org/officeDocument/2006/relationships/ctrlProp" Target="../ctrlProps/ctrlProp311.xml"/><Relationship Id="rId356" Type="http://schemas.openxmlformats.org/officeDocument/2006/relationships/ctrlProp" Target="../ctrlProps/ctrlProp353.xml"/><Relationship Id="rId398" Type="http://schemas.openxmlformats.org/officeDocument/2006/relationships/ctrlProp" Target="../ctrlProps/ctrlProp395.xml"/><Relationship Id="rId521" Type="http://schemas.openxmlformats.org/officeDocument/2006/relationships/ctrlProp" Target="../ctrlProps/ctrlProp518.xml"/><Relationship Id="rId563" Type="http://schemas.openxmlformats.org/officeDocument/2006/relationships/ctrlProp" Target="../ctrlProps/ctrlProp560.xml"/><Relationship Id="rId95" Type="http://schemas.openxmlformats.org/officeDocument/2006/relationships/ctrlProp" Target="../ctrlProps/ctrlProp92.xml"/><Relationship Id="rId160" Type="http://schemas.openxmlformats.org/officeDocument/2006/relationships/ctrlProp" Target="../ctrlProps/ctrlProp157.xml"/><Relationship Id="rId216" Type="http://schemas.openxmlformats.org/officeDocument/2006/relationships/ctrlProp" Target="../ctrlProps/ctrlProp213.xml"/><Relationship Id="rId423" Type="http://schemas.openxmlformats.org/officeDocument/2006/relationships/ctrlProp" Target="../ctrlProps/ctrlProp420.xml"/><Relationship Id="rId258" Type="http://schemas.openxmlformats.org/officeDocument/2006/relationships/ctrlProp" Target="../ctrlProps/ctrlProp255.xml"/><Relationship Id="rId465" Type="http://schemas.openxmlformats.org/officeDocument/2006/relationships/ctrlProp" Target="../ctrlProps/ctrlProp462.xml"/><Relationship Id="rId22" Type="http://schemas.openxmlformats.org/officeDocument/2006/relationships/ctrlProp" Target="../ctrlProps/ctrlProp19.xml"/><Relationship Id="rId64" Type="http://schemas.openxmlformats.org/officeDocument/2006/relationships/ctrlProp" Target="../ctrlProps/ctrlProp61.xml"/><Relationship Id="rId118" Type="http://schemas.openxmlformats.org/officeDocument/2006/relationships/ctrlProp" Target="../ctrlProps/ctrlProp115.xml"/><Relationship Id="rId325" Type="http://schemas.openxmlformats.org/officeDocument/2006/relationships/ctrlProp" Target="../ctrlProps/ctrlProp322.xml"/><Relationship Id="rId367" Type="http://schemas.openxmlformats.org/officeDocument/2006/relationships/ctrlProp" Target="../ctrlProps/ctrlProp364.xml"/><Relationship Id="rId532" Type="http://schemas.openxmlformats.org/officeDocument/2006/relationships/ctrlProp" Target="../ctrlProps/ctrlProp529.xml"/><Relationship Id="rId574" Type="http://schemas.openxmlformats.org/officeDocument/2006/relationships/ctrlProp" Target="../ctrlProps/ctrlProp571.xml"/><Relationship Id="rId171" Type="http://schemas.openxmlformats.org/officeDocument/2006/relationships/ctrlProp" Target="../ctrlProps/ctrlProp168.xml"/><Relationship Id="rId227" Type="http://schemas.openxmlformats.org/officeDocument/2006/relationships/ctrlProp" Target="../ctrlProps/ctrlProp224.xml"/><Relationship Id="rId269" Type="http://schemas.openxmlformats.org/officeDocument/2006/relationships/ctrlProp" Target="../ctrlProps/ctrlProp266.xml"/><Relationship Id="rId434" Type="http://schemas.openxmlformats.org/officeDocument/2006/relationships/ctrlProp" Target="../ctrlProps/ctrlProp431.xml"/><Relationship Id="rId476" Type="http://schemas.openxmlformats.org/officeDocument/2006/relationships/ctrlProp" Target="../ctrlProps/ctrlProp473.xml"/><Relationship Id="rId33" Type="http://schemas.openxmlformats.org/officeDocument/2006/relationships/ctrlProp" Target="../ctrlProps/ctrlProp30.xml"/><Relationship Id="rId129" Type="http://schemas.openxmlformats.org/officeDocument/2006/relationships/ctrlProp" Target="../ctrlProps/ctrlProp126.xml"/><Relationship Id="rId280" Type="http://schemas.openxmlformats.org/officeDocument/2006/relationships/ctrlProp" Target="../ctrlProps/ctrlProp277.xml"/><Relationship Id="rId336" Type="http://schemas.openxmlformats.org/officeDocument/2006/relationships/ctrlProp" Target="../ctrlProps/ctrlProp333.xml"/><Relationship Id="rId501" Type="http://schemas.openxmlformats.org/officeDocument/2006/relationships/ctrlProp" Target="../ctrlProps/ctrlProp498.xml"/><Relationship Id="rId543" Type="http://schemas.openxmlformats.org/officeDocument/2006/relationships/ctrlProp" Target="../ctrlProps/ctrlProp540.xml"/><Relationship Id="rId75" Type="http://schemas.openxmlformats.org/officeDocument/2006/relationships/ctrlProp" Target="../ctrlProps/ctrlProp72.xml"/><Relationship Id="rId140" Type="http://schemas.openxmlformats.org/officeDocument/2006/relationships/ctrlProp" Target="../ctrlProps/ctrlProp137.xml"/><Relationship Id="rId182" Type="http://schemas.openxmlformats.org/officeDocument/2006/relationships/ctrlProp" Target="../ctrlProps/ctrlProp179.xml"/><Relationship Id="rId378" Type="http://schemas.openxmlformats.org/officeDocument/2006/relationships/ctrlProp" Target="../ctrlProps/ctrlProp375.xml"/><Relationship Id="rId403" Type="http://schemas.openxmlformats.org/officeDocument/2006/relationships/ctrlProp" Target="../ctrlProps/ctrlProp400.xml"/><Relationship Id="rId585" Type="http://schemas.openxmlformats.org/officeDocument/2006/relationships/ctrlProp" Target="../ctrlProps/ctrlProp582.xml"/><Relationship Id="rId6" Type="http://schemas.openxmlformats.org/officeDocument/2006/relationships/ctrlProp" Target="../ctrlProps/ctrlProp3.xml"/><Relationship Id="rId238" Type="http://schemas.openxmlformats.org/officeDocument/2006/relationships/ctrlProp" Target="../ctrlProps/ctrlProp235.xml"/><Relationship Id="rId445" Type="http://schemas.openxmlformats.org/officeDocument/2006/relationships/ctrlProp" Target="../ctrlProps/ctrlProp442.xml"/><Relationship Id="rId487" Type="http://schemas.openxmlformats.org/officeDocument/2006/relationships/ctrlProp" Target="../ctrlProps/ctrlProp484.xml"/><Relationship Id="rId291" Type="http://schemas.openxmlformats.org/officeDocument/2006/relationships/ctrlProp" Target="../ctrlProps/ctrlProp288.xml"/><Relationship Id="rId305" Type="http://schemas.openxmlformats.org/officeDocument/2006/relationships/ctrlProp" Target="../ctrlProps/ctrlProp302.xml"/><Relationship Id="rId347" Type="http://schemas.openxmlformats.org/officeDocument/2006/relationships/ctrlProp" Target="../ctrlProps/ctrlProp344.xml"/><Relationship Id="rId512" Type="http://schemas.openxmlformats.org/officeDocument/2006/relationships/ctrlProp" Target="../ctrlProps/ctrlProp509.xml"/><Relationship Id="rId44" Type="http://schemas.openxmlformats.org/officeDocument/2006/relationships/ctrlProp" Target="../ctrlProps/ctrlProp41.xml"/><Relationship Id="rId86" Type="http://schemas.openxmlformats.org/officeDocument/2006/relationships/ctrlProp" Target="../ctrlProps/ctrlProp83.xml"/><Relationship Id="rId151" Type="http://schemas.openxmlformats.org/officeDocument/2006/relationships/ctrlProp" Target="../ctrlProps/ctrlProp148.xml"/><Relationship Id="rId389" Type="http://schemas.openxmlformats.org/officeDocument/2006/relationships/ctrlProp" Target="../ctrlProps/ctrlProp386.xml"/><Relationship Id="rId554" Type="http://schemas.openxmlformats.org/officeDocument/2006/relationships/ctrlProp" Target="../ctrlProps/ctrlProp551.xml"/><Relationship Id="rId596" Type="http://schemas.openxmlformats.org/officeDocument/2006/relationships/ctrlProp" Target="../ctrlProps/ctrlProp593.xml"/><Relationship Id="rId193" Type="http://schemas.openxmlformats.org/officeDocument/2006/relationships/ctrlProp" Target="../ctrlProps/ctrlProp190.xml"/><Relationship Id="rId207" Type="http://schemas.openxmlformats.org/officeDocument/2006/relationships/ctrlProp" Target="../ctrlProps/ctrlProp204.xml"/><Relationship Id="rId249" Type="http://schemas.openxmlformats.org/officeDocument/2006/relationships/ctrlProp" Target="../ctrlProps/ctrlProp246.xml"/><Relationship Id="rId414" Type="http://schemas.openxmlformats.org/officeDocument/2006/relationships/ctrlProp" Target="../ctrlProps/ctrlProp411.xml"/><Relationship Id="rId456" Type="http://schemas.openxmlformats.org/officeDocument/2006/relationships/ctrlProp" Target="../ctrlProps/ctrlProp453.xml"/><Relationship Id="rId498" Type="http://schemas.openxmlformats.org/officeDocument/2006/relationships/ctrlProp" Target="../ctrlProps/ctrlProp495.xml"/><Relationship Id="rId13" Type="http://schemas.openxmlformats.org/officeDocument/2006/relationships/ctrlProp" Target="../ctrlProps/ctrlProp10.xml"/><Relationship Id="rId109" Type="http://schemas.openxmlformats.org/officeDocument/2006/relationships/ctrlProp" Target="../ctrlProps/ctrlProp106.xml"/><Relationship Id="rId260" Type="http://schemas.openxmlformats.org/officeDocument/2006/relationships/ctrlProp" Target="../ctrlProps/ctrlProp257.xml"/><Relationship Id="rId316" Type="http://schemas.openxmlformats.org/officeDocument/2006/relationships/ctrlProp" Target="../ctrlProps/ctrlProp313.xml"/><Relationship Id="rId523" Type="http://schemas.openxmlformats.org/officeDocument/2006/relationships/ctrlProp" Target="../ctrlProps/ctrlProp520.xml"/><Relationship Id="rId55" Type="http://schemas.openxmlformats.org/officeDocument/2006/relationships/ctrlProp" Target="../ctrlProps/ctrlProp52.xml"/><Relationship Id="rId97" Type="http://schemas.openxmlformats.org/officeDocument/2006/relationships/ctrlProp" Target="../ctrlProps/ctrlProp94.xml"/><Relationship Id="rId120" Type="http://schemas.openxmlformats.org/officeDocument/2006/relationships/ctrlProp" Target="../ctrlProps/ctrlProp117.xml"/><Relationship Id="rId358" Type="http://schemas.openxmlformats.org/officeDocument/2006/relationships/ctrlProp" Target="../ctrlProps/ctrlProp355.xml"/><Relationship Id="rId565" Type="http://schemas.openxmlformats.org/officeDocument/2006/relationships/ctrlProp" Target="../ctrlProps/ctrlProp562.xml"/><Relationship Id="rId162" Type="http://schemas.openxmlformats.org/officeDocument/2006/relationships/ctrlProp" Target="../ctrlProps/ctrlProp159.xml"/><Relationship Id="rId218" Type="http://schemas.openxmlformats.org/officeDocument/2006/relationships/ctrlProp" Target="../ctrlProps/ctrlProp215.xml"/><Relationship Id="rId425" Type="http://schemas.openxmlformats.org/officeDocument/2006/relationships/ctrlProp" Target="../ctrlProps/ctrlProp422.xml"/><Relationship Id="rId467" Type="http://schemas.openxmlformats.org/officeDocument/2006/relationships/ctrlProp" Target="../ctrlProps/ctrlProp464.xml"/><Relationship Id="rId271" Type="http://schemas.openxmlformats.org/officeDocument/2006/relationships/ctrlProp" Target="../ctrlProps/ctrlProp268.xml"/><Relationship Id="rId24" Type="http://schemas.openxmlformats.org/officeDocument/2006/relationships/ctrlProp" Target="../ctrlProps/ctrlProp21.xml"/><Relationship Id="rId66" Type="http://schemas.openxmlformats.org/officeDocument/2006/relationships/ctrlProp" Target="../ctrlProps/ctrlProp63.xml"/><Relationship Id="rId131" Type="http://schemas.openxmlformats.org/officeDocument/2006/relationships/ctrlProp" Target="../ctrlProps/ctrlProp128.xml"/><Relationship Id="rId327" Type="http://schemas.openxmlformats.org/officeDocument/2006/relationships/ctrlProp" Target="../ctrlProps/ctrlProp324.xml"/><Relationship Id="rId369" Type="http://schemas.openxmlformats.org/officeDocument/2006/relationships/ctrlProp" Target="../ctrlProps/ctrlProp366.xml"/><Relationship Id="rId534" Type="http://schemas.openxmlformats.org/officeDocument/2006/relationships/ctrlProp" Target="../ctrlProps/ctrlProp531.xml"/><Relationship Id="rId576" Type="http://schemas.openxmlformats.org/officeDocument/2006/relationships/ctrlProp" Target="../ctrlProps/ctrlProp573.xml"/><Relationship Id="rId173" Type="http://schemas.openxmlformats.org/officeDocument/2006/relationships/ctrlProp" Target="../ctrlProps/ctrlProp170.xml"/><Relationship Id="rId229" Type="http://schemas.openxmlformats.org/officeDocument/2006/relationships/ctrlProp" Target="../ctrlProps/ctrlProp226.xml"/><Relationship Id="rId380" Type="http://schemas.openxmlformats.org/officeDocument/2006/relationships/ctrlProp" Target="../ctrlProps/ctrlProp377.xml"/><Relationship Id="rId436" Type="http://schemas.openxmlformats.org/officeDocument/2006/relationships/ctrlProp" Target="../ctrlProps/ctrlProp433.xml"/><Relationship Id="rId601" Type="http://schemas.openxmlformats.org/officeDocument/2006/relationships/ctrlProp" Target="../ctrlProps/ctrlProp598.xml"/><Relationship Id="rId240" Type="http://schemas.openxmlformats.org/officeDocument/2006/relationships/ctrlProp" Target="../ctrlProps/ctrlProp237.xml"/><Relationship Id="rId478" Type="http://schemas.openxmlformats.org/officeDocument/2006/relationships/ctrlProp" Target="../ctrlProps/ctrlProp475.xml"/><Relationship Id="rId35" Type="http://schemas.openxmlformats.org/officeDocument/2006/relationships/ctrlProp" Target="../ctrlProps/ctrlProp32.xml"/><Relationship Id="rId77" Type="http://schemas.openxmlformats.org/officeDocument/2006/relationships/ctrlProp" Target="../ctrlProps/ctrlProp74.xml"/><Relationship Id="rId100" Type="http://schemas.openxmlformats.org/officeDocument/2006/relationships/ctrlProp" Target="../ctrlProps/ctrlProp97.xml"/><Relationship Id="rId282" Type="http://schemas.openxmlformats.org/officeDocument/2006/relationships/ctrlProp" Target="../ctrlProps/ctrlProp279.xml"/><Relationship Id="rId338" Type="http://schemas.openxmlformats.org/officeDocument/2006/relationships/ctrlProp" Target="../ctrlProps/ctrlProp335.xml"/><Relationship Id="rId503" Type="http://schemas.openxmlformats.org/officeDocument/2006/relationships/ctrlProp" Target="../ctrlProps/ctrlProp500.xml"/><Relationship Id="rId545" Type="http://schemas.openxmlformats.org/officeDocument/2006/relationships/ctrlProp" Target="../ctrlProps/ctrlProp542.xml"/><Relationship Id="rId587" Type="http://schemas.openxmlformats.org/officeDocument/2006/relationships/ctrlProp" Target="../ctrlProps/ctrlProp584.xml"/><Relationship Id="rId8" Type="http://schemas.openxmlformats.org/officeDocument/2006/relationships/ctrlProp" Target="../ctrlProps/ctrlProp5.xml"/><Relationship Id="rId142" Type="http://schemas.openxmlformats.org/officeDocument/2006/relationships/ctrlProp" Target="../ctrlProps/ctrlProp139.xml"/><Relationship Id="rId184" Type="http://schemas.openxmlformats.org/officeDocument/2006/relationships/ctrlProp" Target="../ctrlProps/ctrlProp181.xml"/><Relationship Id="rId391" Type="http://schemas.openxmlformats.org/officeDocument/2006/relationships/ctrlProp" Target="../ctrlProps/ctrlProp388.xml"/><Relationship Id="rId405" Type="http://schemas.openxmlformats.org/officeDocument/2006/relationships/ctrlProp" Target="../ctrlProps/ctrlProp402.xml"/><Relationship Id="rId447" Type="http://schemas.openxmlformats.org/officeDocument/2006/relationships/ctrlProp" Target="../ctrlProps/ctrlProp444.xml"/><Relationship Id="rId251" Type="http://schemas.openxmlformats.org/officeDocument/2006/relationships/ctrlProp" Target="../ctrlProps/ctrlProp248.xml"/><Relationship Id="rId489" Type="http://schemas.openxmlformats.org/officeDocument/2006/relationships/ctrlProp" Target="../ctrlProps/ctrlProp486.xml"/><Relationship Id="rId46" Type="http://schemas.openxmlformats.org/officeDocument/2006/relationships/ctrlProp" Target="../ctrlProps/ctrlProp43.xml"/><Relationship Id="rId293" Type="http://schemas.openxmlformats.org/officeDocument/2006/relationships/ctrlProp" Target="../ctrlProps/ctrlProp290.xml"/><Relationship Id="rId307" Type="http://schemas.openxmlformats.org/officeDocument/2006/relationships/ctrlProp" Target="../ctrlProps/ctrlProp304.xml"/><Relationship Id="rId349" Type="http://schemas.openxmlformats.org/officeDocument/2006/relationships/ctrlProp" Target="../ctrlProps/ctrlProp346.xml"/><Relationship Id="rId514" Type="http://schemas.openxmlformats.org/officeDocument/2006/relationships/ctrlProp" Target="../ctrlProps/ctrlProp511.xml"/><Relationship Id="rId556" Type="http://schemas.openxmlformats.org/officeDocument/2006/relationships/ctrlProp" Target="../ctrlProps/ctrlProp553.xml"/><Relationship Id="rId88" Type="http://schemas.openxmlformats.org/officeDocument/2006/relationships/ctrlProp" Target="../ctrlProps/ctrlProp85.xml"/><Relationship Id="rId111" Type="http://schemas.openxmlformats.org/officeDocument/2006/relationships/ctrlProp" Target="../ctrlProps/ctrlProp108.xml"/><Relationship Id="rId153" Type="http://schemas.openxmlformats.org/officeDocument/2006/relationships/ctrlProp" Target="../ctrlProps/ctrlProp150.xml"/><Relationship Id="rId195" Type="http://schemas.openxmlformats.org/officeDocument/2006/relationships/ctrlProp" Target="../ctrlProps/ctrlProp192.xml"/><Relationship Id="rId209" Type="http://schemas.openxmlformats.org/officeDocument/2006/relationships/ctrlProp" Target="../ctrlProps/ctrlProp206.xml"/><Relationship Id="rId360" Type="http://schemas.openxmlformats.org/officeDocument/2006/relationships/ctrlProp" Target="../ctrlProps/ctrlProp357.xml"/><Relationship Id="rId416" Type="http://schemas.openxmlformats.org/officeDocument/2006/relationships/ctrlProp" Target="../ctrlProps/ctrlProp413.xml"/><Relationship Id="rId598" Type="http://schemas.openxmlformats.org/officeDocument/2006/relationships/ctrlProp" Target="../ctrlProps/ctrlProp595.xml"/><Relationship Id="rId220" Type="http://schemas.openxmlformats.org/officeDocument/2006/relationships/ctrlProp" Target="../ctrlProps/ctrlProp217.xml"/><Relationship Id="rId458" Type="http://schemas.openxmlformats.org/officeDocument/2006/relationships/ctrlProp" Target="../ctrlProps/ctrlProp455.xml"/><Relationship Id="rId15" Type="http://schemas.openxmlformats.org/officeDocument/2006/relationships/ctrlProp" Target="../ctrlProps/ctrlProp12.xml"/><Relationship Id="rId57" Type="http://schemas.openxmlformats.org/officeDocument/2006/relationships/ctrlProp" Target="../ctrlProps/ctrlProp54.xml"/><Relationship Id="rId262" Type="http://schemas.openxmlformats.org/officeDocument/2006/relationships/ctrlProp" Target="../ctrlProps/ctrlProp259.xml"/><Relationship Id="rId318" Type="http://schemas.openxmlformats.org/officeDocument/2006/relationships/ctrlProp" Target="../ctrlProps/ctrlProp315.xml"/><Relationship Id="rId525" Type="http://schemas.openxmlformats.org/officeDocument/2006/relationships/ctrlProp" Target="../ctrlProps/ctrlProp522.xml"/><Relationship Id="rId567" Type="http://schemas.openxmlformats.org/officeDocument/2006/relationships/ctrlProp" Target="../ctrlProps/ctrlProp564.xml"/><Relationship Id="rId99" Type="http://schemas.openxmlformats.org/officeDocument/2006/relationships/ctrlProp" Target="../ctrlProps/ctrlProp96.xml"/><Relationship Id="rId122" Type="http://schemas.openxmlformats.org/officeDocument/2006/relationships/ctrlProp" Target="../ctrlProps/ctrlProp119.xml"/><Relationship Id="rId164" Type="http://schemas.openxmlformats.org/officeDocument/2006/relationships/ctrlProp" Target="../ctrlProps/ctrlProp161.xml"/><Relationship Id="rId371" Type="http://schemas.openxmlformats.org/officeDocument/2006/relationships/ctrlProp" Target="../ctrlProps/ctrlProp368.xml"/><Relationship Id="rId427" Type="http://schemas.openxmlformats.org/officeDocument/2006/relationships/ctrlProp" Target="../ctrlProps/ctrlProp424.xml"/><Relationship Id="rId469" Type="http://schemas.openxmlformats.org/officeDocument/2006/relationships/ctrlProp" Target="../ctrlProps/ctrlProp466.xml"/><Relationship Id="rId26" Type="http://schemas.openxmlformats.org/officeDocument/2006/relationships/ctrlProp" Target="../ctrlProps/ctrlProp23.xml"/><Relationship Id="rId231" Type="http://schemas.openxmlformats.org/officeDocument/2006/relationships/ctrlProp" Target="../ctrlProps/ctrlProp228.xml"/><Relationship Id="rId273" Type="http://schemas.openxmlformats.org/officeDocument/2006/relationships/ctrlProp" Target="../ctrlProps/ctrlProp270.xml"/><Relationship Id="rId329" Type="http://schemas.openxmlformats.org/officeDocument/2006/relationships/ctrlProp" Target="../ctrlProps/ctrlProp326.xml"/><Relationship Id="rId480" Type="http://schemas.openxmlformats.org/officeDocument/2006/relationships/ctrlProp" Target="../ctrlProps/ctrlProp477.xml"/><Relationship Id="rId536" Type="http://schemas.openxmlformats.org/officeDocument/2006/relationships/ctrlProp" Target="../ctrlProps/ctrlProp533.xml"/><Relationship Id="rId68" Type="http://schemas.openxmlformats.org/officeDocument/2006/relationships/ctrlProp" Target="../ctrlProps/ctrlProp65.xml"/><Relationship Id="rId133" Type="http://schemas.openxmlformats.org/officeDocument/2006/relationships/ctrlProp" Target="../ctrlProps/ctrlProp130.xml"/><Relationship Id="rId175" Type="http://schemas.openxmlformats.org/officeDocument/2006/relationships/ctrlProp" Target="../ctrlProps/ctrlProp172.xml"/><Relationship Id="rId340" Type="http://schemas.openxmlformats.org/officeDocument/2006/relationships/ctrlProp" Target="../ctrlProps/ctrlProp337.xml"/><Relationship Id="rId578" Type="http://schemas.openxmlformats.org/officeDocument/2006/relationships/ctrlProp" Target="../ctrlProps/ctrlProp575.xml"/><Relationship Id="rId200" Type="http://schemas.openxmlformats.org/officeDocument/2006/relationships/ctrlProp" Target="../ctrlProps/ctrlProp197.xml"/><Relationship Id="rId382" Type="http://schemas.openxmlformats.org/officeDocument/2006/relationships/ctrlProp" Target="../ctrlProps/ctrlProp379.xml"/><Relationship Id="rId438" Type="http://schemas.openxmlformats.org/officeDocument/2006/relationships/ctrlProp" Target="../ctrlProps/ctrlProp435.xml"/><Relationship Id="rId603" Type="http://schemas.openxmlformats.org/officeDocument/2006/relationships/ctrlProp" Target="../ctrlProps/ctrlProp600.xml"/><Relationship Id="rId242" Type="http://schemas.openxmlformats.org/officeDocument/2006/relationships/ctrlProp" Target="../ctrlProps/ctrlProp239.xml"/><Relationship Id="rId284" Type="http://schemas.openxmlformats.org/officeDocument/2006/relationships/ctrlProp" Target="../ctrlProps/ctrlProp281.xml"/><Relationship Id="rId491" Type="http://schemas.openxmlformats.org/officeDocument/2006/relationships/ctrlProp" Target="../ctrlProps/ctrlProp488.xml"/><Relationship Id="rId505" Type="http://schemas.openxmlformats.org/officeDocument/2006/relationships/ctrlProp" Target="../ctrlProps/ctrlProp502.xml"/><Relationship Id="rId37" Type="http://schemas.openxmlformats.org/officeDocument/2006/relationships/ctrlProp" Target="../ctrlProps/ctrlProp34.xml"/><Relationship Id="rId79" Type="http://schemas.openxmlformats.org/officeDocument/2006/relationships/ctrlProp" Target="../ctrlProps/ctrlProp76.xml"/><Relationship Id="rId102" Type="http://schemas.openxmlformats.org/officeDocument/2006/relationships/ctrlProp" Target="../ctrlProps/ctrlProp99.xml"/><Relationship Id="rId144" Type="http://schemas.openxmlformats.org/officeDocument/2006/relationships/ctrlProp" Target="../ctrlProps/ctrlProp141.xml"/><Relationship Id="rId547" Type="http://schemas.openxmlformats.org/officeDocument/2006/relationships/ctrlProp" Target="../ctrlProps/ctrlProp544.xml"/><Relationship Id="rId589" Type="http://schemas.openxmlformats.org/officeDocument/2006/relationships/ctrlProp" Target="../ctrlProps/ctrlProp586.xml"/><Relationship Id="rId90" Type="http://schemas.openxmlformats.org/officeDocument/2006/relationships/ctrlProp" Target="../ctrlProps/ctrlProp87.xml"/><Relationship Id="rId186" Type="http://schemas.openxmlformats.org/officeDocument/2006/relationships/ctrlProp" Target="../ctrlProps/ctrlProp183.xml"/><Relationship Id="rId351" Type="http://schemas.openxmlformats.org/officeDocument/2006/relationships/ctrlProp" Target="../ctrlProps/ctrlProp348.xml"/><Relationship Id="rId393" Type="http://schemas.openxmlformats.org/officeDocument/2006/relationships/ctrlProp" Target="../ctrlProps/ctrlProp390.xml"/><Relationship Id="rId407" Type="http://schemas.openxmlformats.org/officeDocument/2006/relationships/ctrlProp" Target="../ctrlProps/ctrlProp404.xml"/><Relationship Id="rId449" Type="http://schemas.openxmlformats.org/officeDocument/2006/relationships/ctrlProp" Target="../ctrlProps/ctrlProp446.xml"/><Relationship Id="rId211" Type="http://schemas.openxmlformats.org/officeDocument/2006/relationships/ctrlProp" Target="../ctrlProps/ctrlProp208.xml"/><Relationship Id="rId253" Type="http://schemas.openxmlformats.org/officeDocument/2006/relationships/ctrlProp" Target="../ctrlProps/ctrlProp250.xml"/><Relationship Id="rId295" Type="http://schemas.openxmlformats.org/officeDocument/2006/relationships/ctrlProp" Target="../ctrlProps/ctrlProp292.xml"/><Relationship Id="rId309" Type="http://schemas.openxmlformats.org/officeDocument/2006/relationships/ctrlProp" Target="../ctrlProps/ctrlProp306.xml"/><Relationship Id="rId460" Type="http://schemas.openxmlformats.org/officeDocument/2006/relationships/ctrlProp" Target="../ctrlProps/ctrlProp457.xml"/><Relationship Id="rId516" Type="http://schemas.openxmlformats.org/officeDocument/2006/relationships/ctrlProp" Target="../ctrlProps/ctrlProp513.xml"/><Relationship Id="rId48" Type="http://schemas.openxmlformats.org/officeDocument/2006/relationships/ctrlProp" Target="../ctrlProps/ctrlProp45.xml"/><Relationship Id="rId113" Type="http://schemas.openxmlformats.org/officeDocument/2006/relationships/ctrlProp" Target="../ctrlProps/ctrlProp110.xml"/><Relationship Id="rId320" Type="http://schemas.openxmlformats.org/officeDocument/2006/relationships/ctrlProp" Target="../ctrlProps/ctrlProp317.xml"/><Relationship Id="rId558" Type="http://schemas.openxmlformats.org/officeDocument/2006/relationships/ctrlProp" Target="../ctrlProps/ctrlProp555.xml"/><Relationship Id="rId155" Type="http://schemas.openxmlformats.org/officeDocument/2006/relationships/ctrlProp" Target="../ctrlProps/ctrlProp152.xml"/><Relationship Id="rId197" Type="http://schemas.openxmlformats.org/officeDocument/2006/relationships/ctrlProp" Target="../ctrlProps/ctrlProp194.xml"/><Relationship Id="rId362" Type="http://schemas.openxmlformats.org/officeDocument/2006/relationships/ctrlProp" Target="../ctrlProps/ctrlProp359.xml"/><Relationship Id="rId418" Type="http://schemas.openxmlformats.org/officeDocument/2006/relationships/ctrlProp" Target="../ctrlProps/ctrlProp415.xml"/><Relationship Id="rId222" Type="http://schemas.openxmlformats.org/officeDocument/2006/relationships/ctrlProp" Target="../ctrlProps/ctrlProp219.xml"/><Relationship Id="rId264" Type="http://schemas.openxmlformats.org/officeDocument/2006/relationships/ctrlProp" Target="../ctrlProps/ctrlProp261.xml"/><Relationship Id="rId471" Type="http://schemas.openxmlformats.org/officeDocument/2006/relationships/ctrlProp" Target="../ctrlProps/ctrlProp468.xml"/><Relationship Id="rId17" Type="http://schemas.openxmlformats.org/officeDocument/2006/relationships/ctrlProp" Target="../ctrlProps/ctrlProp14.xml"/><Relationship Id="rId59" Type="http://schemas.openxmlformats.org/officeDocument/2006/relationships/ctrlProp" Target="../ctrlProps/ctrlProp56.xml"/><Relationship Id="rId124" Type="http://schemas.openxmlformats.org/officeDocument/2006/relationships/ctrlProp" Target="../ctrlProps/ctrlProp121.xml"/><Relationship Id="rId527" Type="http://schemas.openxmlformats.org/officeDocument/2006/relationships/ctrlProp" Target="../ctrlProps/ctrlProp524.xml"/><Relationship Id="rId569" Type="http://schemas.openxmlformats.org/officeDocument/2006/relationships/ctrlProp" Target="../ctrlProps/ctrlProp566.xml"/><Relationship Id="rId70" Type="http://schemas.openxmlformats.org/officeDocument/2006/relationships/ctrlProp" Target="../ctrlProps/ctrlProp67.xml"/><Relationship Id="rId166" Type="http://schemas.openxmlformats.org/officeDocument/2006/relationships/ctrlProp" Target="../ctrlProps/ctrlProp163.xml"/><Relationship Id="rId331" Type="http://schemas.openxmlformats.org/officeDocument/2006/relationships/ctrlProp" Target="../ctrlProps/ctrlProp328.xml"/><Relationship Id="rId373" Type="http://schemas.openxmlformats.org/officeDocument/2006/relationships/ctrlProp" Target="../ctrlProps/ctrlProp370.xml"/><Relationship Id="rId429" Type="http://schemas.openxmlformats.org/officeDocument/2006/relationships/ctrlProp" Target="../ctrlProps/ctrlProp426.xml"/><Relationship Id="rId580" Type="http://schemas.openxmlformats.org/officeDocument/2006/relationships/ctrlProp" Target="../ctrlProps/ctrlProp577.xml"/><Relationship Id="rId1" Type="http://schemas.openxmlformats.org/officeDocument/2006/relationships/printerSettings" Target="../printerSettings/printerSettings1.bin"/><Relationship Id="rId233" Type="http://schemas.openxmlformats.org/officeDocument/2006/relationships/ctrlProp" Target="../ctrlProps/ctrlProp230.xml"/><Relationship Id="rId440" Type="http://schemas.openxmlformats.org/officeDocument/2006/relationships/ctrlProp" Target="../ctrlProps/ctrlProp437.xml"/><Relationship Id="rId28" Type="http://schemas.openxmlformats.org/officeDocument/2006/relationships/ctrlProp" Target="../ctrlProps/ctrlProp25.xml"/><Relationship Id="rId275" Type="http://schemas.openxmlformats.org/officeDocument/2006/relationships/ctrlProp" Target="../ctrlProps/ctrlProp272.xml"/><Relationship Id="rId300" Type="http://schemas.openxmlformats.org/officeDocument/2006/relationships/ctrlProp" Target="../ctrlProps/ctrlProp297.xml"/><Relationship Id="rId482" Type="http://schemas.openxmlformats.org/officeDocument/2006/relationships/ctrlProp" Target="../ctrlProps/ctrlProp479.xml"/><Relationship Id="rId538" Type="http://schemas.openxmlformats.org/officeDocument/2006/relationships/ctrlProp" Target="../ctrlProps/ctrlProp535.xml"/><Relationship Id="rId81" Type="http://schemas.openxmlformats.org/officeDocument/2006/relationships/ctrlProp" Target="../ctrlProps/ctrlProp78.xml"/><Relationship Id="rId135" Type="http://schemas.openxmlformats.org/officeDocument/2006/relationships/ctrlProp" Target="../ctrlProps/ctrlProp132.xml"/><Relationship Id="rId177" Type="http://schemas.openxmlformats.org/officeDocument/2006/relationships/ctrlProp" Target="../ctrlProps/ctrlProp174.xml"/><Relationship Id="rId342" Type="http://schemas.openxmlformats.org/officeDocument/2006/relationships/ctrlProp" Target="../ctrlProps/ctrlProp339.xml"/><Relationship Id="rId384" Type="http://schemas.openxmlformats.org/officeDocument/2006/relationships/ctrlProp" Target="../ctrlProps/ctrlProp381.xml"/><Relationship Id="rId591" Type="http://schemas.openxmlformats.org/officeDocument/2006/relationships/ctrlProp" Target="../ctrlProps/ctrlProp588.xml"/><Relationship Id="rId605" Type="http://schemas.openxmlformats.org/officeDocument/2006/relationships/ctrlProp" Target="../ctrlProps/ctrlProp602.xml"/><Relationship Id="rId202" Type="http://schemas.openxmlformats.org/officeDocument/2006/relationships/ctrlProp" Target="../ctrlProps/ctrlProp199.xml"/><Relationship Id="rId244" Type="http://schemas.openxmlformats.org/officeDocument/2006/relationships/ctrlProp" Target="../ctrlProps/ctrlProp241.xml"/><Relationship Id="rId39" Type="http://schemas.openxmlformats.org/officeDocument/2006/relationships/ctrlProp" Target="../ctrlProps/ctrlProp36.xml"/><Relationship Id="rId286" Type="http://schemas.openxmlformats.org/officeDocument/2006/relationships/ctrlProp" Target="../ctrlProps/ctrlProp283.xml"/><Relationship Id="rId451" Type="http://schemas.openxmlformats.org/officeDocument/2006/relationships/ctrlProp" Target="../ctrlProps/ctrlProp448.xml"/><Relationship Id="rId493" Type="http://schemas.openxmlformats.org/officeDocument/2006/relationships/ctrlProp" Target="../ctrlProps/ctrlProp490.xml"/><Relationship Id="rId507" Type="http://schemas.openxmlformats.org/officeDocument/2006/relationships/ctrlProp" Target="../ctrlProps/ctrlProp504.xml"/><Relationship Id="rId549" Type="http://schemas.openxmlformats.org/officeDocument/2006/relationships/ctrlProp" Target="../ctrlProps/ctrlProp546.xml"/><Relationship Id="rId50" Type="http://schemas.openxmlformats.org/officeDocument/2006/relationships/ctrlProp" Target="../ctrlProps/ctrlProp47.xml"/><Relationship Id="rId104" Type="http://schemas.openxmlformats.org/officeDocument/2006/relationships/ctrlProp" Target="../ctrlProps/ctrlProp101.xml"/><Relationship Id="rId146" Type="http://schemas.openxmlformats.org/officeDocument/2006/relationships/ctrlProp" Target="../ctrlProps/ctrlProp143.xml"/><Relationship Id="rId188" Type="http://schemas.openxmlformats.org/officeDocument/2006/relationships/ctrlProp" Target="../ctrlProps/ctrlProp185.xml"/><Relationship Id="rId311" Type="http://schemas.openxmlformats.org/officeDocument/2006/relationships/ctrlProp" Target="../ctrlProps/ctrlProp308.xml"/><Relationship Id="rId353" Type="http://schemas.openxmlformats.org/officeDocument/2006/relationships/ctrlProp" Target="../ctrlProps/ctrlProp350.xml"/><Relationship Id="rId395" Type="http://schemas.openxmlformats.org/officeDocument/2006/relationships/ctrlProp" Target="../ctrlProps/ctrlProp392.xml"/><Relationship Id="rId409" Type="http://schemas.openxmlformats.org/officeDocument/2006/relationships/ctrlProp" Target="../ctrlProps/ctrlProp406.xml"/><Relationship Id="rId560" Type="http://schemas.openxmlformats.org/officeDocument/2006/relationships/ctrlProp" Target="../ctrlProps/ctrlProp557.xml"/><Relationship Id="rId92" Type="http://schemas.openxmlformats.org/officeDocument/2006/relationships/ctrlProp" Target="../ctrlProps/ctrlProp89.xml"/><Relationship Id="rId213" Type="http://schemas.openxmlformats.org/officeDocument/2006/relationships/ctrlProp" Target="../ctrlProps/ctrlProp210.xml"/><Relationship Id="rId420" Type="http://schemas.openxmlformats.org/officeDocument/2006/relationships/ctrlProp" Target="../ctrlProps/ctrlProp417.xml"/><Relationship Id="rId255" Type="http://schemas.openxmlformats.org/officeDocument/2006/relationships/ctrlProp" Target="../ctrlProps/ctrlProp252.xml"/><Relationship Id="rId297" Type="http://schemas.openxmlformats.org/officeDocument/2006/relationships/ctrlProp" Target="../ctrlProps/ctrlProp294.xml"/><Relationship Id="rId462" Type="http://schemas.openxmlformats.org/officeDocument/2006/relationships/ctrlProp" Target="../ctrlProps/ctrlProp459.xml"/><Relationship Id="rId518" Type="http://schemas.openxmlformats.org/officeDocument/2006/relationships/ctrlProp" Target="../ctrlProps/ctrlProp515.xml"/><Relationship Id="rId115" Type="http://schemas.openxmlformats.org/officeDocument/2006/relationships/ctrlProp" Target="../ctrlProps/ctrlProp112.xml"/><Relationship Id="rId157" Type="http://schemas.openxmlformats.org/officeDocument/2006/relationships/ctrlProp" Target="../ctrlProps/ctrlProp154.xml"/><Relationship Id="rId322" Type="http://schemas.openxmlformats.org/officeDocument/2006/relationships/ctrlProp" Target="../ctrlProps/ctrlProp319.xml"/><Relationship Id="rId364" Type="http://schemas.openxmlformats.org/officeDocument/2006/relationships/ctrlProp" Target="../ctrlProps/ctrlProp361.xml"/><Relationship Id="rId61" Type="http://schemas.openxmlformats.org/officeDocument/2006/relationships/ctrlProp" Target="../ctrlProps/ctrlProp58.xml"/><Relationship Id="rId199" Type="http://schemas.openxmlformats.org/officeDocument/2006/relationships/ctrlProp" Target="../ctrlProps/ctrlProp196.xml"/><Relationship Id="rId571" Type="http://schemas.openxmlformats.org/officeDocument/2006/relationships/ctrlProp" Target="../ctrlProps/ctrlProp568.xml"/><Relationship Id="rId19" Type="http://schemas.openxmlformats.org/officeDocument/2006/relationships/ctrlProp" Target="../ctrlProps/ctrlProp16.xml"/><Relationship Id="rId224" Type="http://schemas.openxmlformats.org/officeDocument/2006/relationships/ctrlProp" Target="../ctrlProps/ctrlProp221.xml"/><Relationship Id="rId266" Type="http://schemas.openxmlformats.org/officeDocument/2006/relationships/ctrlProp" Target="../ctrlProps/ctrlProp263.xml"/><Relationship Id="rId431" Type="http://schemas.openxmlformats.org/officeDocument/2006/relationships/ctrlProp" Target="../ctrlProps/ctrlProp428.xml"/><Relationship Id="rId473" Type="http://schemas.openxmlformats.org/officeDocument/2006/relationships/ctrlProp" Target="../ctrlProps/ctrlProp470.xml"/><Relationship Id="rId529" Type="http://schemas.openxmlformats.org/officeDocument/2006/relationships/ctrlProp" Target="../ctrlProps/ctrlProp526.xml"/><Relationship Id="rId30" Type="http://schemas.openxmlformats.org/officeDocument/2006/relationships/ctrlProp" Target="../ctrlProps/ctrlProp27.xml"/><Relationship Id="rId126" Type="http://schemas.openxmlformats.org/officeDocument/2006/relationships/ctrlProp" Target="../ctrlProps/ctrlProp123.xml"/><Relationship Id="rId168" Type="http://schemas.openxmlformats.org/officeDocument/2006/relationships/ctrlProp" Target="../ctrlProps/ctrlProp165.xml"/><Relationship Id="rId333" Type="http://schemas.openxmlformats.org/officeDocument/2006/relationships/ctrlProp" Target="../ctrlProps/ctrlProp330.xml"/><Relationship Id="rId540" Type="http://schemas.openxmlformats.org/officeDocument/2006/relationships/ctrlProp" Target="../ctrlProps/ctrlProp537.xml"/><Relationship Id="rId72" Type="http://schemas.openxmlformats.org/officeDocument/2006/relationships/ctrlProp" Target="../ctrlProps/ctrlProp69.xml"/><Relationship Id="rId375" Type="http://schemas.openxmlformats.org/officeDocument/2006/relationships/ctrlProp" Target="../ctrlProps/ctrlProp372.xml"/><Relationship Id="rId582" Type="http://schemas.openxmlformats.org/officeDocument/2006/relationships/ctrlProp" Target="../ctrlProps/ctrlProp579.xml"/><Relationship Id="rId3" Type="http://schemas.openxmlformats.org/officeDocument/2006/relationships/vmlDrawing" Target="../drawings/vmlDrawing1.vml"/><Relationship Id="rId235" Type="http://schemas.openxmlformats.org/officeDocument/2006/relationships/ctrlProp" Target="../ctrlProps/ctrlProp232.xml"/><Relationship Id="rId277" Type="http://schemas.openxmlformats.org/officeDocument/2006/relationships/ctrlProp" Target="../ctrlProps/ctrlProp274.xml"/><Relationship Id="rId400" Type="http://schemas.openxmlformats.org/officeDocument/2006/relationships/ctrlProp" Target="../ctrlProps/ctrlProp397.xml"/><Relationship Id="rId442" Type="http://schemas.openxmlformats.org/officeDocument/2006/relationships/ctrlProp" Target="../ctrlProps/ctrlProp439.xml"/><Relationship Id="rId484" Type="http://schemas.openxmlformats.org/officeDocument/2006/relationships/ctrlProp" Target="../ctrlProps/ctrlProp481.xml"/><Relationship Id="rId137" Type="http://schemas.openxmlformats.org/officeDocument/2006/relationships/ctrlProp" Target="../ctrlProps/ctrlProp134.xml"/><Relationship Id="rId302" Type="http://schemas.openxmlformats.org/officeDocument/2006/relationships/ctrlProp" Target="../ctrlProps/ctrlProp299.xml"/><Relationship Id="rId344" Type="http://schemas.openxmlformats.org/officeDocument/2006/relationships/ctrlProp" Target="../ctrlProps/ctrlProp341.xml"/><Relationship Id="rId41" Type="http://schemas.openxmlformats.org/officeDocument/2006/relationships/ctrlProp" Target="../ctrlProps/ctrlProp38.xml"/><Relationship Id="rId83" Type="http://schemas.openxmlformats.org/officeDocument/2006/relationships/ctrlProp" Target="../ctrlProps/ctrlProp80.xml"/><Relationship Id="rId179" Type="http://schemas.openxmlformats.org/officeDocument/2006/relationships/ctrlProp" Target="../ctrlProps/ctrlProp176.xml"/><Relationship Id="rId386" Type="http://schemas.openxmlformats.org/officeDocument/2006/relationships/ctrlProp" Target="../ctrlProps/ctrlProp383.xml"/><Relationship Id="rId551" Type="http://schemas.openxmlformats.org/officeDocument/2006/relationships/ctrlProp" Target="../ctrlProps/ctrlProp548.xml"/><Relationship Id="rId593" Type="http://schemas.openxmlformats.org/officeDocument/2006/relationships/ctrlProp" Target="../ctrlProps/ctrlProp590.xml"/><Relationship Id="rId607" Type="http://schemas.openxmlformats.org/officeDocument/2006/relationships/ctrlProp" Target="../ctrlProps/ctrlProp604.xml"/><Relationship Id="rId190" Type="http://schemas.openxmlformats.org/officeDocument/2006/relationships/ctrlProp" Target="../ctrlProps/ctrlProp187.xml"/><Relationship Id="rId204" Type="http://schemas.openxmlformats.org/officeDocument/2006/relationships/ctrlProp" Target="../ctrlProps/ctrlProp201.xml"/><Relationship Id="rId246" Type="http://schemas.openxmlformats.org/officeDocument/2006/relationships/ctrlProp" Target="../ctrlProps/ctrlProp243.xml"/><Relationship Id="rId288" Type="http://schemas.openxmlformats.org/officeDocument/2006/relationships/ctrlProp" Target="../ctrlProps/ctrlProp285.xml"/><Relationship Id="rId411" Type="http://schemas.openxmlformats.org/officeDocument/2006/relationships/ctrlProp" Target="../ctrlProps/ctrlProp408.xml"/><Relationship Id="rId453" Type="http://schemas.openxmlformats.org/officeDocument/2006/relationships/ctrlProp" Target="../ctrlProps/ctrlProp450.xml"/><Relationship Id="rId509" Type="http://schemas.openxmlformats.org/officeDocument/2006/relationships/ctrlProp" Target="../ctrlProps/ctrlProp506.xml"/><Relationship Id="rId106" Type="http://schemas.openxmlformats.org/officeDocument/2006/relationships/ctrlProp" Target="../ctrlProps/ctrlProp103.xml"/><Relationship Id="rId313" Type="http://schemas.openxmlformats.org/officeDocument/2006/relationships/ctrlProp" Target="../ctrlProps/ctrlProp310.xml"/><Relationship Id="rId495" Type="http://schemas.openxmlformats.org/officeDocument/2006/relationships/ctrlProp" Target="../ctrlProps/ctrlProp492.xml"/><Relationship Id="rId10" Type="http://schemas.openxmlformats.org/officeDocument/2006/relationships/ctrlProp" Target="../ctrlProps/ctrlProp7.xml"/><Relationship Id="rId52" Type="http://schemas.openxmlformats.org/officeDocument/2006/relationships/ctrlProp" Target="../ctrlProps/ctrlProp49.xml"/><Relationship Id="rId94" Type="http://schemas.openxmlformats.org/officeDocument/2006/relationships/ctrlProp" Target="../ctrlProps/ctrlProp91.xml"/><Relationship Id="rId148" Type="http://schemas.openxmlformats.org/officeDocument/2006/relationships/ctrlProp" Target="../ctrlProps/ctrlProp145.xml"/><Relationship Id="rId355" Type="http://schemas.openxmlformats.org/officeDocument/2006/relationships/ctrlProp" Target="../ctrlProps/ctrlProp352.xml"/><Relationship Id="rId397" Type="http://schemas.openxmlformats.org/officeDocument/2006/relationships/ctrlProp" Target="../ctrlProps/ctrlProp394.xml"/><Relationship Id="rId520" Type="http://schemas.openxmlformats.org/officeDocument/2006/relationships/ctrlProp" Target="../ctrlProps/ctrlProp517.xml"/><Relationship Id="rId562" Type="http://schemas.openxmlformats.org/officeDocument/2006/relationships/ctrlProp" Target="../ctrlProps/ctrlProp559.xml"/><Relationship Id="rId215" Type="http://schemas.openxmlformats.org/officeDocument/2006/relationships/ctrlProp" Target="../ctrlProps/ctrlProp212.xml"/><Relationship Id="rId257" Type="http://schemas.openxmlformats.org/officeDocument/2006/relationships/ctrlProp" Target="../ctrlProps/ctrlProp254.xml"/><Relationship Id="rId422" Type="http://schemas.openxmlformats.org/officeDocument/2006/relationships/ctrlProp" Target="../ctrlProps/ctrlProp419.xml"/><Relationship Id="rId464" Type="http://schemas.openxmlformats.org/officeDocument/2006/relationships/ctrlProp" Target="../ctrlProps/ctrlProp461.xml"/><Relationship Id="rId299" Type="http://schemas.openxmlformats.org/officeDocument/2006/relationships/ctrlProp" Target="../ctrlProps/ctrlProp296.xml"/><Relationship Id="rId63" Type="http://schemas.openxmlformats.org/officeDocument/2006/relationships/ctrlProp" Target="../ctrlProps/ctrlProp60.xml"/><Relationship Id="rId159" Type="http://schemas.openxmlformats.org/officeDocument/2006/relationships/ctrlProp" Target="../ctrlProps/ctrlProp156.xml"/><Relationship Id="rId366" Type="http://schemas.openxmlformats.org/officeDocument/2006/relationships/ctrlProp" Target="../ctrlProps/ctrlProp363.xml"/><Relationship Id="rId573" Type="http://schemas.openxmlformats.org/officeDocument/2006/relationships/ctrlProp" Target="../ctrlProps/ctrlProp570.xml"/><Relationship Id="rId226" Type="http://schemas.openxmlformats.org/officeDocument/2006/relationships/ctrlProp" Target="../ctrlProps/ctrlProp223.xml"/><Relationship Id="rId433" Type="http://schemas.openxmlformats.org/officeDocument/2006/relationships/ctrlProp" Target="../ctrlProps/ctrlProp430.xml"/><Relationship Id="rId74" Type="http://schemas.openxmlformats.org/officeDocument/2006/relationships/ctrlProp" Target="../ctrlProps/ctrlProp71.xml"/><Relationship Id="rId377" Type="http://schemas.openxmlformats.org/officeDocument/2006/relationships/ctrlProp" Target="../ctrlProps/ctrlProp374.xml"/><Relationship Id="rId500" Type="http://schemas.openxmlformats.org/officeDocument/2006/relationships/ctrlProp" Target="../ctrlProps/ctrlProp497.xml"/><Relationship Id="rId584" Type="http://schemas.openxmlformats.org/officeDocument/2006/relationships/ctrlProp" Target="../ctrlProps/ctrlProp581.xml"/><Relationship Id="rId5" Type="http://schemas.openxmlformats.org/officeDocument/2006/relationships/ctrlProp" Target="../ctrlProps/ctrlProp2.xml"/><Relationship Id="rId237" Type="http://schemas.openxmlformats.org/officeDocument/2006/relationships/ctrlProp" Target="../ctrlProps/ctrlProp234.xml"/><Relationship Id="rId444" Type="http://schemas.openxmlformats.org/officeDocument/2006/relationships/ctrlProp" Target="../ctrlProps/ctrlProp441.xml"/><Relationship Id="rId290" Type="http://schemas.openxmlformats.org/officeDocument/2006/relationships/ctrlProp" Target="../ctrlProps/ctrlProp287.xml"/><Relationship Id="rId304" Type="http://schemas.openxmlformats.org/officeDocument/2006/relationships/ctrlProp" Target="../ctrlProps/ctrlProp301.xml"/><Relationship Id="rId388" Type="http://schemas.openxmlformats.org/officeDocument/2006/relationships/ctrlProp" Target="../ctrlProps/ctrlProp385.xml"/><Relationship Id="rId511" Type="http://schemas.openxmlformats.org/officeDocument/2006/relationships/ctrlProp" Target="../ctrlProps/ctrlProp508.xml"/><Relationship Id="rId85" Type="http://schemas.openxmlformats.org/officeDocument/2006/relationships/ctrlProp" Target="../ctrlProps/ctrlProp82.xml"/><Relationship Id="rId150" Type="http://schemas.openxmlformats.org/officeDocument/2006/relationships/ctrlProp" Target="../ctrlProps/ctrlProp147.xml"/><Relationship Id="rId595" Type="http://schemas.openxmlformats.org/officeDocument/2006/relationships/ctrlProp" Target="../ctrlProps/ctrlProp592.xml"/><Relationship Id="rId248" Type="http://schemas.openxmlformats.org/officeDocument/2006/relationships/ctrlProp" Target="../ctrlProps/ctrlProp245.xml"/><Relationship Id="rId455" Type="http://schemas.openxmlformats.org/officeDocument/2006/relationships/ctrlProp" Target="../ctrlProps/ctrlProp452.xml"/><Relationship Id="rId12" Type="http://schemas.openxmlformats.org/officeDocument/2006/relationships/ctrlProp" Target="../ctrlProps/ctrlProp9.xml"/><Relationship Id="rId108" Type="http://schemas.openxmlformats.org/officeDocument/2006/relationships/ctrlProp" Target="../ctrlProps/ctrlProp105.xml"/><Relationship Id="rId315" Type="http://schemas.openxmlformats.org/officeDocument/2006/relationships/ctrlProp" Target="../ctrlProps/ctrlProp312.xml"/><Relationship Id="rId522" Type="http://schemas.openxmlformats.org/officeDocument/2006/relationships/ctrlProp" Target="../ctrlProps/ctrlProp519.xml"/><Relationship Id="rId96" Type="http://schemas.openxmlformats.org/officeDocument/2006/relationships/ctrlProp" Target="../ctrlProps/ctrlProp93.xml"/><Relationship Id="rId161" Type="http://schemas.openxmlformats.org/officeDocument/2006/relationships/ctrlProp" Target="../ctrlProps/ctrlProp158.xml"/><Relationship Id="rId399" Type="http://schemas.openxmlformats.org/officeDocument/2006/relationships/ctrlProp" Target="../ctrlProps/ctrlProp396.xml"/><Relationship Id="rId259" Type="http://schemas.openxmlformats.org/officeDocument/2006/relationships/ctrlProp" Target="../ctrlProps/ctrlProp256.xml"/><Relationship Id="rId466" Type="http://schemas.openxmlformats.org/officeDocument/2006/relationships/ctrlProp" Target="../ctrlProps/ctrlProp463.xml"/><Relationship Id="rId23" Type="http://schemas.openxmlformats.org/officeDocument/2006/relationships/ctrlProp" Target="../ctrlProps/ctrlProp20.xml"/><Relationship Id="rId119" Type="http://schemas.openxmlformats.org/officeDocument/2006/relationships/ctrlProp" Target="../ctrlProps/ctrlProp116.xml"/><Relationship Id="rId326" Type="http://schemas.openxmlformats.org/officeDocument/2006/relationships/ctrlProp" Target="../ctrlProps/ctrlProp323.xml"/><Relationship Id="rId533" Type="http://schemas.openxmlformats.org/officeDocument/2006/relationships/ctrlProp" Target="../ctrlProps/ctrlProp530.xml"/><Relationship Id="rId172" Type="http://schemas.openxmlformats.org/officeDocument/2006/relationships/ctrlProp" Target="../ctrlProps/ctrlProp169.xml"/><Relationship Id="rId477" Type="http://schemas.openxmlformats.org/officeDocument/2006/relationships/ctrlProp" Target="../ctrlProps/ctrlProp474.xml"/><Relationship Id="rId600" Type="http://schemas.openxmlformats.org/officeDocument/2006/relationships/ctrlProp" Target="../ctrlProps/ctrlProp597.xml"/><Relationship Id="rId337" Type="http://schemas.openxmlformats.org/officeDocument/2006/relationships/ctrlProp" Target="../ctrlProps/ctrlProp334.xml"/><Relationship Id="rId34" Type="http://schemas.openxmlformats.org/officeDocument/2006/relationships/ctrlProp" Target="../ctrlProps/ctrlProp31.xml"/><Relationship Id="rId544" Type="http://schemas.openxmlformats.org/officeDocument/2006/relationships/ctrlProp" Target="../ctrlProps/ctrlProp541.xml"/><Relationship Id="rId183" Type="http://schemas.openxmlformats.org/officeDocument/2006/relationships/ctrlProp" Target="../ctrlProps/ctrlProp180.xml"/><Relationship Id="rId390" Type="http://schemas.openxmlformats.org/officeDocument/2006/relationships/ctrlProp" Target="../ctrlProps/ctrlProp387.xml"/><Relationship Id="rId404" Type="http://schemas.openxmlformats.org/officeDocument/2006/relationships/ctrlProp" Target="../ctrlProps/ctrlProp401.xml"/><Relationship Id="rId250" Type="http://schemas.openxmlformats.org/officeDocument/2006/relationships/ctrlProp" Target="../ctrlProps/ctrlProp247.xml"/><Relationship Id="rId488" Type="http://schemas.openxmlformats.org/officeDocument/2006/relationships/ctrlProp" Target="../ctrlProps/ctrlProp485.xml"/><Relationship Id="rId45" Type="http://schemas.openxmlformats.org/officeDocument/2006/relationships/ctrlProp" Target="../ctrlProps/ctrlProp42.xml"/><Relationship Id="rId110" Type="http://schemas.openxmlformats.org/officeDocument/2006/relationships/ctrlProp" Target="../ctrlProps/ctrlProp107.xml"/><Relationship Id="rId348" Type="http://schemas.openxmlformats.org/officeDocument/2006/relationships/ctrlProp" Target="../ctrlProps/ctrlProp345.xml"/><Relationship Id="rId555" Type="http://schemas.openxmlformats.org/officeDocument/2006/relationships/ctrlProp" Target="../ctrlProps/ctrlProp552.xml"/><Relationship Id="rId194" Type="http://schemas.openxmlformats.org/officeDocument/2006/relationships/ctrlProp" Target="../ctrlProps/ctrlProp191.xml"/><Relationship Id="rId208" Type="http://schemas.openxmlformats.org/officeDocument/2006/relationships/ctrlProp" Target="../ctrlProps/ctrlProp205.xml"/><Relationship Id="rId415" Type="http://schemas.openxmlformats.org/officeDocument/2006/relationships/ctrlProp" Target="../ctrlProps/ctrlProp412.xml"/><Relationship Id="rId261" Type="http://schemas.openxmlformats.org/officeDocument/2006/relationships/ctrlProp" Target="../ctrlProps/ctrlProp258.xml"/><Relationship Id="rId499" Type="http://schemas.openxmlformats.org/officeDocument/2006/relationships/ctrlProp" Target="../ctrlProps/ctrlProp496.xml"/><Relationship Id="rId56" Type="http://schemas.openxmlformats.org/officeDocument/2006/relationships/ctrlProp" Target="../ctrlProps/ctrlProp53.xml"/><Relationship Id="rId359" Type="http://schemas.openxmlformats.org/officeDocument/2006/relationships/ctrlProp" Target="../ctrlProps/ctrlProp356.xml"/><Relationship Id="rId566" Type="http://schemas.openxmlformats.org/officeDocument/2006/relationships/ctrlProp" Target="../ctrlProps/ctrlProp56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tabColor rgb="FF85E345"/>
  </sheetPr>
  <dimension ref="A1:AN202"/>
  <sheetViews>
    <sheetView tabSelected="1" zoomScaleNormal="100" workbookViewId="0">
      <pane ySplit="1" topLeftCell="A2" activePane="bottomLeft" state="frozen"/>
      <selection pane="bottomLeft" activeCell="B2" sqref="B2"/>
    </sheetView>
  </sheetViews>
  <sheetFormatPr defaultColWidth="9.140625" defaultRowHeight="15" x14ac:dyDescent="0.25"/>
  <cols>
    <col min="1" max="1" width="7.140625" style="63" customWidth="1"/>
    <col min="2" max="2" width="18" style="63" customWidth="1"/>
    <col min="3" max="3" width="19.5703125" style="63" customWidth="1"/>
    <col min="4" max="4" width="2.5703125" style="63" customWidth="1"/>
    <col min="5" max="5" width="10.42578125" style="63" customWidth="1"/>
    <col min="6" max="6" width="27.85546875" style="63" customWidth="1"/>
    <col min="7" max="7" width="7.28515625" style="63" customWidth="1"/>
    <col min="8" max="8" width="17.28515625" style="63" customWidth="1"/>
    <col min="9" max="9" width="9.5703125" style="63" customWidth="1"/>
    <col min="10" max="10" width="0.28515625" style="63" customWidth="1"/>
    <col min="11" max="11" width="9.140625" style="63" customWidth="1"/>
    <col min="12" max="13" width="6.5703125" style="63" customWidth="1"/>
    <col min="14" max="14" width="28.42578125" style="63" customWidth="1"/>
    <col min="15" max="15" width="14.140625" style="63" customWidth="1"/>
    <col min="16" max="16" width="13" style="63" customWidth="1"/>
    <col min="17" max="17" width="7.28515625" style="63" customWidth="1"/>
    <col min="18" max="18" width="10.140625" style="63" customWidth="1"/>
    <col min="19" max="19" width="8.140625" style="63" customWidth="1"/>
    <col min="20" max="20" width="7.28515625" style="63" customWidth="1"/>
    <col min="21" max="21" width="19.42578125" style="63" customWidth="1"/>
    <col min="22" max="22" width="1.85546875" style="63" customWidth="1"/>
    <col min="23" max="23" width="8.7109375" style="63" customWidth="1"/>
    <col min="24" max="24" width="5.5703125" style="63" customWidth="1"/>
    <col min="25" max="25" width="5.85546875" style="63" customWidth="1"/>
    <col min="26" max="26" width="6.7109375" style="63" customWidth="1"/>
    <col min="27" max="27" width="9.140625" style="63"/>
    <col min="28" max="28" width="12.7109375" style="63" customWidth="1"/>
    <col min="29" max="29" width="9.140625" style="63"/>
    <col min="30" max="30" width="2.140625" style="63" customWidth="1"/>
    <col min="31" max="31" width="6.5703125" style="63" customWidth="1"/>
    <col min="32" max="32" width="6" style="63" customWidth="1"/>
    <col min="33" max="33" width="6.28515625" style="63" customWidth="1"/>
    <col min="34" max="16384" width="9.140625" style="63"/>
  </cols>
  <sheetData>
    <row r="1" spans="1:40" ht="33.75" customHeight="1" thickBot="1" x14ac:dyDescent="0.3">
      <c r="A1" s="56" t="s">
        <v>0</v>
      </c>
      <c r="B1" s="57" t="s">
        <v>1</v>
      </c>
      <c r="C1" s="58" t="s">
        <v>2</v>
      </c>
      <c r="D1" s="171"/>
      <c r="E1" s="198" t="s">
        <v>354</v>
      </c>
      <c r="F1" s="59" t="s">
        <v>3</v>
      </c>
      <c r="G1" s="60" t="s">
        <v>0</v>
      </c>
      <c r="H1" s="61" t="s">
        <v>4</v>
      </c>
      <c r="I1" s="273"/>
      <c r="J1" s="273"/>
      <c r="K1" s="273"/>
      <c r="L1" s="132" t="s">
        <v>282</v>
      </c>
      <c r="M1" s="133" t="s">
        <v>283</v>
      </c>
      <c r="N1" s="154" t="s">
        <v>40</v>
      </c>
      <c r="O1" s="152" t="s">
        <v>294</v>
      </c>
      <c r="P1" s="153" t="s">
        <v>293</v>
      </c>
      <c r="Q1" s="136" t="s">
        <v>0</v>
      </c>
      <c r="R1" s="62"/>
      <c r="S1" s="274"/>
      <c r="T1" s="275"/>
    </row>
    <row r="2" spans="1:40" ht="23.25" customHeight="1" x14ac:dyDescent="0.35">
      <c r="A2" s="64">
        <v>1</v>
      </c>
      <c r="B2" s="172"/>
      <c r="C2" s="173"/>
      <c r="D2" s="174"/>
      <c r="E2" s="172"/>
      <c r="F2" s="175"/>
      <c r="G2" s="176">
        <v>1</v>
      </c>
      <c r="H2" s="177"/>
      <c r="I2" s="178" t="str">
        <f t="shared" ref="I2:I11" ca="1" si="0">IF(H2&lt;&gt;"", IF(I2="", NOW(), I2), "")</f>
        <v/>
      </c>
      <c r="J2" s="179"/>
      <c r="K2" s="180" t="str">
        <f t="shared" ref="K2:K67" ca="1" si="1">IF(L2&lt;&gt;"", IF(K2="", NOW(), K2), "")</f>
        <v/>
      </c>
      <c r="L2" s="168"/>
      <c r="M2" s="168"/>
      <c r="N2" s="181" t="str">
        <f t="shared" ref="N2:N65" si="2">IF(OR(AND(B2=$T$39,F2=$S$40,B2&lt;&gt;"",F2&lt;&gt;""),AND(B2=$T$41,F2=$S$42,B2&lt;&gt;"",F2&lt;&gt;""),AND(B2=$T$43,F2=$S$44,B2&lt;&gt;"",F2&lt;&gt;""),AND(B2=$T$45,F2=$S$46,B2&lt;&gt;"",F2&lt;&gt;""),AND(B2=$T$47,F2=$S$48,B2&lt;&gt;"",F2&lt;&gt;""),AND(B2=$T$49,F2=$S$50,B2&lt;&gt;"",F2&lt;&gt;""),AND(B2=$T$51,F2=$S$52,B2&lt;&gt;"",F2&lt;&gt;""),AND(B2=$T$53,F2=$S$54,B2&lt;&gt;"",F2&lt;&gt;""),AND(B2=$T$55,F2=$S$56,B2&lt;&gt;"",F2&lt;&gt;""),AND(B2=$T$57,F2=$S$58,B2&lt;&gt;"",F2&lt;&gt;""),AND(B2=$T$59,F2=$S$60,B2&lt;&gt;"",F2&lt;&gt;""),AND(B2=$T$61,F2=$S$62,B2&lt;&gt;"",F2&lt;&gt;""),AND(B2=$T$63,F2=$S$64,B2&lt;&gt;"",F2&lt;&gt;""),AND(B2=$T$65,F2=$S$66,B2&lt;&gt;"",F2&lt;&gt;""),AND(B2=$T$67,F2=$S$68,B2&lt;&gt;"",F2&lt;&gt;""),AND(B2=$T$69,F2=$S$70,B2&lt;&gt;"",F2&lt;&gt;""),AND(B2=$T$71,F2=$S$72,B2&lt;&gt;"",F2&lt;&gt;""),AND(B2=$T$73,F2=$S$74,B2&lt;&gt;"",F2&lt;&gt;""),AND(B2=$T$75,F2=$S$76,B2&lt;&gt;"",F2&lt;&gt;""),AND(B2=$T$77,F2=$S$78,B2&lt;&gt;"",F2&lt;&gt;""),AND(B2=$T$79,F2=$S$80,B2&lt;&gt;"",F2&lt;&gt;""),AND(B2=$T$81,F2=$S$82,B2&lt;&gt;"",F2&lt;&gt;"")),"TRASFERIMENTO","")</f>
        <v/>
      </c>
      <c r="O2" s="182"/>
      <c r="P2" s="183"/>
      <c r="Q2" s="65"/>
      <c r="R2" s="134"/>
      <c r="S2" s="289" t="s">
        <v>13</v>
      </c>
      <c r="T2" s="289"/>
      <c r="U2" s="289"/>
      <c r="V2" s="289"/>
      <c r="W2" s="289"/>
      <c r="X2" s="289"/>
    </row>
    <row r="3" spans="1:40" ht="23.25" customHeight="1" thickBot="1" x14ac:dyDescent="0.3">
      <c r="A3" s="66">
        <v>2</v>
      </c>
      <c r="B3" s="172"/>
      <c r="C3" s="173"/>
      <c r="D3" s="173"/>
      <c r="E3" s="197"/>
      <c r="F3" s="175"/>
      <c r="G3" s="184">
        <v>2</v>
      </c>
      <c r="H3" s="185"/>
      <c r="I3" s="178" t="str">
        <f t="shared" ca="1" si="0"/>
        <v/>
      </c>
      <c r="J3" s="179"/>
      <c r="K3" s="180" t="str">
        <f t="shared" ca="1" si="1"/>
        <v/>
      </c>
      <c r="L3" s="168"/>
      <c r="M3" s="168"/>
      <c r="N3" s="181" t="str">
        <f t="shared" si="2"/>
        <v/>
      </c>
      <c r="O3" s="182"/>
      <c r="P3" s="183"/>
      <c r="Q3" s="68"/>
      <c r="R3" s="135"/>
    </row>
    <row r="4" spans="1:40" ht="23.25" customHeight="1" thickTop="1" thickBot="1" x14ac:dyDescent="0.3">
      <c r="A4" s="69">
        <v>3</v>
      </c>
      <c r="B4" s="172"/>
      <c r="C4" s="173"/>
      <c r="D4" s="174"/>
      <c r="E4" s="172"/>
      <c r="F4" s="175"/>
      <c r="G4" s="184">
        <v>3</v>
      </c>
      <c r="H4" s="185"/>
      <c r="I4" s="178" t="str">
        <f t="shared" ca="1" si="0"/>
        <v/>
      </c>
      <c r="J4" s="179"/>
      <c r="K4" s="180" t="str">
        <f t="shared" ca="1" si="1"/>
        <v/>
      </c>
      <c r="L4" s="168"/>
      <c r="M4" s="168"/>
      <c r="N4" s="181" t="str">
        <f t="shared" si="2"/>
        <v/>
      </c>
      <c r="O4" s="182"/>
      <c r="P4" s="183"/>
      <c r="Q4" s="71"/>
      <c r="R4" s="135"/>
      <c r="T4" s="290" t="s">
        <v>10</v>
      </c>
      <c r="U4" s="291"/>
      <c r="V4" s="72"/>
      <c r="W4" s="73">
        <f ca="1">COUNT(I2:I201)</f>
        <v>0</v>
      </c>
    </row>
    <row r="5" spans="1:40" ht="23.25" customHeight="1" thickTop="1" thickBot="1" x14ac:dyDescent="0.3">
      <c r="A5" s="66">
        <v>4</v>
      </c>
      <c r="B5" s="172"/>
      <c r="C5" s="173"/>
      <c r="D5" s="174"/>
      <c r="E5" s="172"/>
      <c r="F5" s="175"/>
      <c r="G5" s="176">
        <v>4</v>
      </c>
      <c r="H5" s="185"/>
      <c r="I5" s="178" t="str">
        <f t="shared" ca="1" si="0"/>
        <v/>
      </c>
      <c r="J5" s="179"/>
      <c r="K5" s="180" t="str">
        <f t="shared" ca="1" si="1"/>
        <v/>
      </c>
      <c r="L5" s="168"/>
      <c r="M5" s="168"/>
      <c r="N5" s="181" t="str">
        <f t="shared" si="2"/>
        <v/>
      </c>
      <c r="O5" s="182"/>
      <c r="P5" s="183"/>
      <c r="Q5" s="68"/>
      <c r="R5" s="135"/>
    </row>
    <row r="6" spans="1:40" ht="23.25" customHeight="1" thickTop="1" thickBot="1" x14ac:dyDescent="0.3">
      <c r="A6" s="69">
        <v>5</v>
      </c>
      <c r="B6" s="172"/>
      <c r="C6" s="173"/>
      <c r="D6" s="174"/>
      <c r="E6" s="172"/>
      <c r="F6" s="175"/>
      <c r="G6" s="184">
        <v>5</v>
      </c>
      <c r="H6" s="185"/>
      <c r="I6" s="178" t="str">
        <f t="shared" ca="1" si="0"/>
        <v/>
      </c>
      <c r="J6" s="179"/>
      <c r="K6" s="180" t="str">
        <f t="shared" ca="1" si="1"/>
        <v/>
      </c>
      <c r="L6" s="168"/>
      <c r="M6" s="168"/>
      <c r="N6" s="181" t="str">
        <f t="shared" si="2"/>
        <v/>
      </c>
      <c r="O6" s="182"/>
      <c r="P6" s="183"/>
      <c r="Q6" s="71"/>
      <c r="R6" s="135"/>
      <c r="T6" s="276" t="s">
        <v>11</v>
      </c>
      <c r="U6" s="277"/>
      <c r="V6" s="77"/>
      <c r="W6" s="78">
        <f ca="1">COUNT(K2:K201)</f>
        <v>0</v>
      </c>
    </row>
    <row r="7" spans="1:40" ht="23.25" customHeight="1" thickTop="1" thickBot="1" x14ac:dyDescent="0.3">
      <c r="A7" s="66">
        <v>6</v>
      </c>
      <c r="B7" s="172"/>
      <c r="C7" s="173"/>
      <c r="D7" s="174"/>
      <c r="E7" s="172"/>
      <c r="F7" s="175"/>
      <c r="G7" s="184">
        <v>6</v>
      </c>
      <c r="H7" s="185"/>
      <c r="I7" s="178" t="str">
        <f t="shared" ca="1" si="0"/>
        <v/>
      </c>
      <c r="J7" s="179"/>
      <c r="K7" s="180" t="str">
        <f t="shared" ca="1" si="1"/>
        <v/>
      </c>
      <c r="L7" s="168"/>
      <c r="M7" s="168"/>
      <c r="N7" s="181" t="str">
        <f t="shared" si="2"/>
        <v/>
      </c>
      <c r="O7" s="182"/>
      <c r="P7" s="183"/>
      <c r="Q7" s="68"/>
      <c r="R7" s="135"/>
      <c r="T7" s="81"/>
      <c r="U7" s="81"/>
      <c r="V7" s="77"/>
      <c r="W7" s="82"/>
    </row>
    <row r="8" spans="1:40" ht="23.25" customHeight="1" thickTop="1" thickBot="1" x14ac:dyDescent="0.3">
      <c r="A8" s="69">
        <v>7</v>
      </c>
      <c r="B8" s="172"/>
      <c r="C8" s="173"/>
      <c r="D8" s="174"/>
      <c r="E8" s="172"/>
      <c r="F8" s="175"/>
      <c r="G8" s="176">
        <v>7</v>
      </c>
      <c r="H8" s="186"/>
      <c r="I8" s="178" t="str">
        <f t="shared" ca="1" si="0"/>
        <v/>
      </c>
      <c r="J8" s="179"/>
      <c r="K8" s="180" t="str">
        <f t="shared" ca="1" si="1"/>
        <v/>
      </c>
      <c r="L8" s="168"/>
      <c r="M8" s="168"/>
      <c r="N8" s="181" t="str">
        <f t="shared" si="2"/>
        <v/>
      </c>
      <c r="O8" s="182"/>
      <c r="P8" s="183"/>
      <c r="Q8" s="71"/>
      <c r="R8" s="135"/>
      <c r="T8" s="287" t="s">
        <v>26</v>
      </c>
      <c r="U8" s="288"/>
      <c r="V8" s="288"/>
      <c r="W8" s="143">
        <f ca="1">W4-W6</f>
        <v>0</v>
      </c>
    </row>
    <row r="9" spans="1:40" ht="23.25" customHeight="1" thickTop="1" x14ac:dyDescent="0.25">
      <c r="A9" s="66">
        <v>8</v>
      </c>
      <c r="B9" s="172"/>
      <c r="C9" s="173"/>
      <c r="D9" s="174"/>
      <c r="E9" s="172"/>
      <c r="F9" s="175"/>
      <c r="G9" s="184">
        <v>8</v>
      </c>
      <c r="H9" s="185"/>
      <c r="I9" s="178" t="str">
        <f t="shared" ca="1" si="0"/>
        <v/>
      </c>
      <c r="J9" s="179"/>
      <c r="K9" s="180" t="str">
        <f t="shared" ca="1" si="1"/>
        <v/>
      </c>
      <c r="L9" s="168"/>
      <c r="M9" s="168"/>
      <c r="N9" s="181" t="str">
        <f t="shared" si="2"/>
        <v/>
      </c>
      <c r="O9" s="182"/>
      <c r="P9" s="183"/>
      <c r="Q9" s="68"/>
      <c r="R9" s="135"/>
      <c r="X9" s="144" t="s">
        <v>287</v>
      </c>
      <c r="Y9" s="145" t="s">
        <v>288</v>
      </c>
      <c r="Z9" s="286" t="s">
        <v>16</v>
      </c>
      <c r="AA9" s="286"/>
      <c r="AB9" s="286"/>
      <c r="AC9" s="286"/>
      <c r="AD9" s="286"/>
      <c r="AE9" s="286"/>
      <c r="AF9" s="286"/>
      <c r="AH9" s="286" t="s">
        <v>252</v>
      </c>
      <c r="AI9" s="286"/>
      <c r="AJ9" s="286"/>
      <c r="AK9" s="286"/>
      <c r="AL9" s="286"/>
      <c r="AM9" s="286"/>
      <c r="AN9" s="286"/>
    </row>
    <row r="10" spans="1:40" ht="23.25" customHeight="1" x14ac:dyDescent="0.25">
      <c r="A10" s="69">
        <v>9</v>
      </c>
      <c r="B10" s="172"/>
      <c r="C10" s="173"/>
      <c r="D10" s="174"/>
      <c r="E10" s="172"/>
      <c r="F10" s="175"/>
      <c r="G10" s="184">
        <v>9</v>
      </c>
      <c r="H10" s="185"/>
      <c r="I10" s="178" t="str">
        <f t="shared" ca="1" si="0"/>
        <v/>
      </c>
      <c r="J10" s="179"/>
      <c r="K10" s="180" t="str">
        <f t="shared" ca="1" si="1"/>
        <v/>
      </c>
      <c r="L10" s="168"/>
      <c r="M10" s="168"/>
      <c r="N10" s="181" t="str">
        <f t="shared" si="2"/>
        <v/>
      </c>
      <c r="O10" s="182"/>
      <c r="P10" s="183"/>
      <c r="Q10" s="71"/>
      <c r="R10" s="135"/>
      <c r="T10" s="297" t="s">
        <v>292</v>
      </c>
      <c r="U10" s="298"/>
      <c r="V10" s="150"/>
      <c r="W10" s="148">
        <f>COUNTIF(H2:H201,"BANDA STA")</f>
        <v>0</v>
      </c>
      <c r="X10" s="139">
        <f>COUNTIFS(H2:H201,"=BANDA STA", K2:K201,"&gt;0")</f>
        <v>0</v>
      </c>
      <c r="Y10" s="140">
        <f>W10-X10</f>
        <v>0</v>
      </c>
    </row>
    <row r="11" spans="1:40" ht="23.25" customHeight="1" x14ac:dyDescent="0.25">
      <c r="A11" s="66">
        <v>10</v>
      </c>
      <c r="B11" s="172"/>
      <c r="C11" s="173"/>
      <c r="D11" s="174"/>
      <c r="E11" s="172"/>
      <c r="F11" s="175"/>
      <c r="G11" s="176">
        <v>10</v>
      </c>
      <c r="H11" s="185"/>
      <c r="I11" s="178" t="str">
        <f t="shared" ca="1" si="0"/>
        <v/>
      </c>
      <c r="J11" s="179"/>
      <c r="K11" s="180" t="str">
        <f t="shared" ca="1" si="1"/>
        <v/>
      </c>
      <c r="L11" s="168"/>
      <c r="M11" s="168"/>
      <c r="N11" s="181" t="str">
        <f t="shared" si="2"/>
        <v/>
      </c>
      <c r="O11" s="182"/>
      <c r="P11" s="183"/>
      <c r="Q11" s="68"/>
      <c r="R11" s="135"/>
      <c r="T11" s="297" t="s">
        <v>291</v>
      </c>
      <c r="U11" s="298"/>
      <c r="V11" s="150"/>
      <c r="W11" s="147">
        <f>COUNTIF(H2:H201,"PROFILI ACC")</f>
        <v>0</v>
      </c>
      <c r="X11" s="139">
        <f>COUNTIFS(H2:H201,"=PROFILI ACC", K2:K201,"&gt;0")</f>
        <v>0</v>
      </c>
      <c r="Y11" s="140">
        <f>W11-X11</f>
        <v>0</v>
      </c>
      <c r="AA11" s="282" t="s">
        <v>17</v>
      </c>
      <c r="AB11" s="283"/>
      <c r="AC11" s="283"/>
      <c r="AD11" s="74"/>
      <c r="AE11" s="75">
        <f>COUNTIF(N2:N201,"PRENOTAZIONE FASULLA")</f>
        <v>0</v>
      </c>
      <c r="AI11" s="301" t="s">
        <v>253</v>
      </c>
      <c r="AJ11" s="302"/>
      <c r="AK11" s="302"/>
      <c r="AL11" s="303"/>
    </row>
    <row r="12" spans="1:40" ht="23.25" customHeight="1" x14ac:dyDescent="0.25">
      <c r="A12" s="69">
        <v>11</v>
      </c>
      <c r="B12" s="172"/>
      <c r="C12" s="173"/>
      <c r="D12" s="174"/>
      <c r="E12" s="172"/>
      <c r="F12" s="175"/>
      <c r="G12" s="184">
        <v>11</v>
      </c>
      <c r="H12" s="185"/>
      <c r="I12" s="178" t="str">
        <f t="shared" ref="I12:I67" ca="1" si="3">IF(H12&lt;&gt;"", IF(I12="", NOW(), I12), "")</f>
        <v/>
      </c>
      <c r="J12" s="179"/>
      <c r="K12" s="180" t="str">
        <f t="shared" ca="1" si="1"/>
        <v/>
      </c>
      <c r="L12" s="168"/>
      <c r="M12" s="168"/>
      <c r="N12" s="181" t="str">
        <f t="shared" si="2"/>
        <v/>
      </c>
      <c r="O12" s="182"/>
      <c r="P12" s="183"/>
      <c r="Q12" s="71"/>
      <c r="R12" s="135"/>
      <c r="T12" s="297" t="s">
        <v>290</v>
      </c>
      <c r="U12" s="298"/>
      <c r="V12" s="150"/>
      <c r="W12" s="149">
        <f>COUNTIF(H2:H201,"PARTI PRESSE")</f>
        <v>0</v>
      </c>
      <c r="X12" s="139">
        <f>COUNTIFS(H2:H201,"=PARTI PRESSE", K2:K201,"&gt;0")</f>
        <v>0</v>
      </c>
      <c r="Y12" s="140">
        <f>W12-X12</f>
        <v>0</v>
      </c>
      <c r="AA12" s="76"/>
      <c r="AB12" s="76"/>
      <c r="AC12" s="76"/>
      <c r="AD12" s="76"/>
      <c r="AE12" s="76"/>
    </row>
    <row r="13" spans="1:40" ht="23.25" customHeight="1" x14ac:dyDescent="0.25">
      <c r="A13" s="66">
        <v>12</v>
      </c>
      <c r="B13" s="172"/>
      <c r="C13" s="173"/>
      <c r="D13" s="174"/>
      <c r="E13" s="172"/>
      <c r="F13" s="175"/>
      <c r="G13" s="184">
        <v>12</v>
      </c>
      <c r="H13" s="185"/>
      <c r="I13" s="178" t="str">
        <f t="shared" ca="1" si="3"/>
        <v/>
      </c>
      <c r="J13" s="179"/>
      <c r="K13" s="180" t="str">
        <f t="shared" ca="1" si="1"/>
        <v/>
      </c>
      <c r="L13" s="168"/>
      <c r="M13" s="168"/>
      <c r="N13" s="181" t="str">
        <f t="shared" si="2"/>
        <v/>
      </c>
      <c r="O13" s="182"/>
      <c r="P13" s="183"/>
      <c r="Q13" s="68"/>
      <c r="R13" s="135"/>
      <c r="T13" s="296"/>
      <c r="U13" s="296"/>
      <c r="V13" s="296"/>
      <c r="W13" s="76"/>
      <c r="X13" s="76"/>
      <c r="Y13" s="76"/>
      <c r="AA13" s="280" t="s">
        <v>27</v>
      </c>
      <c r="AB13" s="281"/>
      <c r="AC13" s="281"/>
      <c r="AD13" s="79"/>
      <c r="AE13" s="80">
        <f>COUNTIF(N2:N201,"ASSENTE")</f>
        <v>0</v>
      </c>
      <c r="AI13" s="307" t="s">
        <v>254</v>
      </c>
      <c r="AJ13" s="308"/>
      <c r="AK13" s="308"/>
      <c r="AL13" s="309"/>
    </row>
    <row r="14" spans="1:40" ht="23.25" customHeight="1" x14ac:dyDescent="0.25">
      <c r="A14" s="69">
        <v>13</v>
      </c>
      <c r="B14" s="172"/>
      <c r="C14" s="173"/>
      <c r="D14" s="174"/>
      <c r="E14" s="172"/>
      <c r="F14" s="175"/>
      <c r="G14" s="176">
        <v>13</v>
      </c>
      <c r="H14" s="185"/>
      <c r="I14" s="178" t="str">
        <f t="shared" ca="1" si="3"/>
        <v/>
      </c>
      <c r="J14" s="179"/>
      <c r="K14" s="180" t="str">
        <f t="shared" ca="1" si="1"/>
        <v/>
      </c>
      <c r="L14" s="168"/>
      <c r="M14" s="168"/>
      <c r="N14" s="181" t="str">
        <f t="shared" si="2"/>
        <v/>
      </c>
      <c r="O14" s="182"/>
      <c r="P14" s="183"/>
      <c r="Q14" s="71"/>
      <c r="R14" s="135"/>
      <c r="AA14" s="76"/>
      <c r="AB14" s="76"/>
      <c r="AC14" s="76"/>
      <c r="AD14" s="76"/>
      <c r="AE14" s="76"/>
    </row>
    <row r="15" spans="1:40" ht="23.25" customHeight="1" x14ac:dyDescent="0.25">
      <c r="A15" s="66">
        <v>14</v>
      </c>
      <c r="B15" s="172"/>
      <c r="C15" s="173"/>
      <c r="D15" s="174"/>
      <c r="E15" s="172"/>
      <c r="F15" s="175"/>
      <c r="G15" s="184">
        <v>14</v>
      </c>
      <c r="H15" s="185"/>
      <c r="I15" s="178" t="str">
        <f t="shared" ca="1" si="3"/>
        <v/>
      </c>
      <c r="J15" s="179"/>
      <c r="K15" s="180" t="str">
        <f t="shared" ca="1" si="1"/>
        <v/>
      </c>
      <c r="L15" s="168"/>
      <c r="M15" s="168"/>
      <c r="N15" s="181" t="str">
        <f t="shared" si="2"/>
        <v/>
      </c>
      <c r="O15" s="182"/>
      <c r="P15" s="183"/>
      <c r="Q15" s="68"/>
      <c r="R15" s="135"/>
      <c r="T15" s="294" t="s">
        <v>286</v>
      </c>
      <c r="U15" s="295"/>
      <c r="V15" s="151"/>
      <c r="W15" s="146">
        <f>COUNTIF(H2:H201,"GHISA")</f>
        <v>0</v>
      </c>
      <c r="X15" s="139">
        <f>COUNTIFS(H2:H201,"=GHISA", K2:K201,"&gt;0")</f>
        <v>0</v>
      </c>
      <c r="Y15" s="140">
        <f>W15-X15</f>
        <v>0</v>
      </c>
      <c r="AA15" s="292" t="s">
        <v>18</v>
      </c>
      <c r="AB15" s="293"/>
      <c r="AC15" s="293"/>
      <c r="AD15" s="79"/>
      <c r="AE15" s="83">
        <f>COUNTIF(N2:N201,"T1")</f>
        <v>0</v>
      </c>
      <c r="AI15" s="301" t="s">
        <v>255</v>
      </c>
      <c r="AJ15" s="302"/>
      <c r="AK15" s="302"/>
      <c r="AL15" s="303"/>
    </row>
    <row r="16" spans="1:40" ht="23.25" customHeight="1" x14ac:dyDescent="0.25">
      <c r="A16" s="69">
        <v>15</v>
      </c>
      <c r="B16" s="172"/>
      <c r="C16" s="173"/>
      <c r="D16" s="174"/>
      <c r="E16" s="172"/>
      <c r="F16" s="175"/>
      <c r="G16" s="184">
        <v>15</v>
      </c>
      <c r="H16" s="185"/>
      <c r="I16" s="178" t="str">
        <f t="shared" ca="1" si="3"/>
        <v/>
      </c>
      <c r="J16" s="179"/>
      <c r="K16" s="180" t="str">
        <f t="shared" ca="1" si="1"/>
        <v/>
      </c>
      <c r="L16" s="168"/>
      <c r="M16" s="168"/>
      <c r="N16" s="181" t="str">
        <f t="shared" si="2"/>
        <v/>
      </c>
      <c r="O16" s="182"/>
      <c r="P16" s="183"/>
      <c r="Q16" s="71"/>
      <c r="R16" s="135"/>
      <c r="T16" s="141"/>
      <c r="U16" s="141"/>
      <c r="V16" s="141"/>
      <c r="W16" s="141"/>
      <c r="X16" s="138"/>
      <c r="Y16" s="142"/>
      <c r="AA16" s="76"/>
      <c r="AB16" s="76"/>
      <c r="AC16" s="76"/>
      <c r="AD16" s="76"/>
      <c r="AE16" s="76"/>
    </row>
    <row r="17" spans="1:38" ht="23.25" customHeight="1" x14ac:dyDescent="0.25">
      <c r="A17" s="66">
        <v>16</v>
      </c>
      <c r="B17" s="172"/>
      <c r="C17" s="173"/>
      <c r="D17" s="174"/>
      <c r="E17" s="172"/>
      <c r="F17" s="175"/>
      <c r="G17" s="176">
        <v>16</v>
      </c>
      <c r="H17" s="186"/>
      <c r="I17" s="178" t="str">
        <f t="shared" ca="1" si="3"/>
        <v/>
      </c>
      <c r="J17" s="179"/>
      <c r="K17" s="180" t="str">
        <f t="shared" ca="1" si="1"/>
        <v/>
      </c>
      <c r="L17" s="168"/>
      <c r="M17" s="168"/>
      <c r="N17" s="181" t="str">
        <f t="shared" si="2"/>
        <v/>
      </c>
      <c r="O17" s="182"/>
      <c r="P17" s="183"/>
      <c r="Q17" s="68"/>
      <c r="R17" s="135"/>
      <c r="T17" s="278" t="s">
        <v>5</v>
      </c>
      <c r="U17" s="279"/>
      <c r="V17" s="84"/>
      <c r="W17" s="85">
        <f>COUNTIF(H2:H201,"COILS")</f>
        <v>0</v>
      </c>
      <c r="X17" s="139">
        <f>COUNTIFS(H2:H201,"=COILS", K2:K201,"&gt;0")</f>
        <v>0</v>
      </c>
      <c r="Y17" s="140">
        <f>W17-X17</f>
        <v>0</v>
      </c>
      <c r="AA17" s="284" t="s">
        <v>19</v>
      </c>
      <c r="AB17" s="285"/>
      <c r="AC17" s="285"/>
      <c r="AD17" s="86"/>
      <c r="AE17" s="87">
        <f>COUNTIF(N2:N201,"INOX")</f>
        <v>0</v>
      </c>
      <c r="AI17" s="301" t="s">
        <v>256</v>
      </c>
      <c r="AJ17" s="302"/>
      <c r="AK17" s="302"/>
      <c r="AL17" s="303"/>
    </row>
    <row r="18" spans="1:38" ht="23.25" customHeight="1" x14ac:dyDescent="0.25">
      <c r="A18" s="69">
        <v>17</v>
      </c>
      <c r="B18" s="172"/>
      <c r="C18" s="173"/>
      <c r="D18" s="174"/>
      <c r="E18" s="172"/>
      <c r="F18" s="175"/>
      <c r="G18" s="184">
        <v>17</v>
      </c>
      <c r="H18" s="185"/>
      <c r="I18" s="178" t="str">
        <f t="shared" ca="1" si="3"/>
        <v/>
      </c>
      <c r="J18" s="179"/>
      <c r="K18" s="180" t="str">
        <f t="shared" ca="1" si="1"/>
        <v/>
      </c>
      <c r="L18" s="168"/>
      <c r="M18" s="168"/>
      <c r="N18" s="181" t="str">
        <f t="shared" si="2"/>
        <v/>
      </c>
      <c r="O18" s="182"/>
      <c r="P18" s="183"/>
      <c r="Q18" s="71"/>
      <c r="R18" s="135"/>
      <c r="T18" s="88"/>
      <c r="U18" s="88"/>
      <c r="W18" s="82"/>
      <c r="AA18" s="76"/>
      <c r="AB18" s="76"/>
      <c r="AC18" s="76"/>
      <c r="AD18" s="76"/>
      <c r="AE18" s="76"/>
    </row>
    <row r="19" spans="1:38" ht="23.25" customHeight="1" x14ac:dyDescent="0.25">
      <c r="A19" s="66">
        <v>18</v>
      </c>
      <c r="B19" s="172"/>
      <c r="C19" s="173"/>
      <c r="D19" s="174"/>
      <c r="E19" s="172"/>
      <c r="F19" s="175"/>
      <c r="G19" s="184">
        <v>18</v>
      </c>
      <c r="H19" s="185"/>
      <c r="I19" s="178" t="str">
        <f t="shared" ca="1" si="3"/>
        <v/>
      </c>
      <c r="J19" s="179"/>
      <c r="K19" s="180" t="str">
        <f t="shared" ca="1" si="1"/>
        <v/>
      </c>
      <c r="L19" s="168"/>
      <c r="M19" s="168"/>
      <c r="N19" s="181" t="str">
        <f t="shared" si="2"/>
        <v/>
      </c>
      <c r="O19" s="182"/>
      <c r="P19" s="183"/>
      <c r="Q19" s="68"/>
      <c r="R19" s="135"/>
      <c r="T19" s="269" t="s">
        <v>6</v>
      </c>
      <c r="U19" s="270"/>
      <c r="V19" s="84"/>
      <c r="W19" s="89">
        <f>COUNTIF(H2:H201,"LAMIERE")</f>
        <v>0</v>
      </c>
      <c r="X19" s="139">
        <f>COUNTIFS(H2:H201,"=LAMIERE",K2:K201,"&gt;0")</f>
        <v>0</v>
      </c>
      <c r="Y19" s="140">
        <f>W19-X19</f>
        <v>0</v>
      </c>
      <c r="AA19" s="236" t="s">
        <v>20</v>
      </c>
      <c r="AB19" s="237"/>
      <c r="AC19" s="237"/>
      <c r="AD19" s="90"/>
      <c r="AE19" s="91">
        <f>COUNTIF(N2:N201,"CAMBIO BOLLA")</f>
        <v>0</v>
      </c>
      <c r="AI19" s="304" t="s">
        <v>280</v>
      </c>
      <c r="AJ19" s="305"/>
      <c r="AK19" s="305"/>
      <c r="AL19" s="306"/>
    </row>
    <row r="20" spans="1:38" ht="23.25" customHeight="1" x14ac:dyDescent="0.25">
      <c r="A20" s="69">
        <v>19</v>
      </c>
      <c r="B20" s="172"/>
      <c r="C20" s="173"/>
      <c r="D20" s="174"/>
      <c r="E20" s="172"/>
      <c r="F20" s="175"/>
      <c r="G20" s="176">
        <v>19</v>
      </c>
      <c r="H20" s="185"/>
      <c r="I20" s="178" t="str">
        <f t="shared" ca="1" si="3"/>
        <v/>
      </c>
      <c r="J20" s="179"/>
      <c r="K20" s="180" t="str">
        <f t="shared" ca="1" si="1"/>
        <v/>
      </c>
      <c r="L20" s="168"/>
      <c r="M20" s="168"/>
      <c r="N20" s="181" t="str">
        <f t="shared" si="2"/>
        <v/>
      </c>
      <c r="O20" s="182"/>
      <c r="P20" s="183"/>
      <c r="Q20" s="71"/>
      <c r="R20" s="135"/>
      <c r="T20" s="88"/>
      <c r="U20" s="88"/>
      <c r="W20" s="82"/>
      <c r="AA20" s="76"/>
      <c r="AB20" s="76"/>
      <c r="AC20" s="76"/>
      <c r="AD20" s="76"/>
      <c r="AE20" s="76"/>
    </row>
    <row r="21" spans="1:38" ht="23.25" customHeight="1" x14ac:dyDescent="0.25">
      <c r="A21" s="66">
        <v>20</v>
      </c>
      <c r="B21" s="172"/>
      <c r="C21" s="173"/>
      <c r="D21" s="174"/>
      <c r="E21" s="172"/>
      <c r="F21" s="175"/>
      <c r="G21" s="184">
        <v>20</v>
      </c>
      <c r="H21" s="185"/>
      <c r="I21" s="178" t="str">
        <f t="shared" ca="1" si="3"/>
        <v/>
      </c>
      <c r="J21" s="179"/>
      <c r="K21" s="180" t="str">
        <f t="shared" ca="1" si="1"/>
        <v/>
      </c>
      <c r="L21" s="168"/>
      <c r="M21" s="168"/>
      <c r="N21" s="181" t="str">
        <f t="shared" si="2"/>
        <v/>
      </c>
      <c r="O21" s="182"/>
      <c r="P21" s="183"/>
      <c r="Q21" s="68"/>
      <c r="R21" s="135"/>
      <c r="T21" s="271" t="s">
        <v>7</v>
      </c>
      <c r="U21" s="272"/>
      <c r="V21" s="84"/>
      <c r="W21" s="92">
        <f>COUNTIF(H2:H201,"BARRE")</f>
        <v>0</v>
      </c>
      <c r="X21" s="139">
        <f>COUNTIFS(H2:H201,"=BARRE", K2:K201,"&gt;0")</f>
        <v>0</v>
      </c>
      <c r="Y21" s="140">
        <f>W21-X21</f>
        <v>0</v>
      </c>
      <c r="AA21" s="234" t="s">
        <v>21</v>
      </c>
      <c r="AB21" s="235"/>
      <c r="AC21" s="235"/>
      <c r="AD21" s="79"/>
      <c r="AE21" s="93">
        <f>COUNTIF(N2:N201,"NON CARICATO")</f>
        <v>0</v>
      </c>
      <c r="AI21" s="301"/>
      <c r="AJ21" s="302"/>
      <c r="AK21" s="302"/>
      <c r="AL21" s="303"/>
    </row>
    <row r="22" spans="1:38" ht="23.25" customHeight="1" x14ac:dyDescent="0.25">
      <c r="A22" s="69">
        <v>21</v>
      </c>
      <c r="B22" s="172"/>
      <c r="C22" s="173"/>
      <c r="D22" s="174"/>
      <c r="E22" s="172"/>
      <c r="F22" s="175"/>
      <c r="G22" s="184">
        <v>21</v>
      </c>
      <c r="H22" s="185"/>
      <c r="I22" s="178" t="str">
        <f t="shared" ca="1" si="3"/>
        <v/>
      </c>
      <c r="J22" s="179"/>
      <c r="K22" s="180" t="str">
        <f t="shared" ca="1" si="1"/>
        <v/>
      </c>
      <c r="L22" s="168"/>
      <c r="M22" s="168"/>
      <c r="N22" s="181" t="str">
        <f t="shared" si="2"/>
        <v/>
      </c>
      <c r="O22" s="182"/>
      <c r="P22" s="183"/>
      <c r="Q22" s="71">
        <v>21</v>
      </c>
      <c r="R22" s="135"/>
      <c r="T22" s="88"/>
      <c r="U22" s="88"/>
      <c r="W22" s="82"/>
      <c r="AA22" s="76"/>
      <c r="AB22" s="76"/>
      <c r="AC22" s="76"/>
      <c r="AD22" s="76"/>
      <c r="AE22" s="76"/>
    </row>
    <row r="23" spans="1:38" ht="23.25" customHeight="1" x14ac:dyDescent="0.25">
      <c r="A23" s="66">
        <v>22</v>
      </c>
      <c r="B23" s="172"/>
      <c r="C23" s="173"/>
      <c r="D23" s="174"/>
      <c r="E23" s="172"/>
      <c r="F23" s="175"/>
      <c r="G23" s="176">
        <v>22</v>
      </c>
      <c r="H23" s="185"/>
      <c r="I23" s="178" t="str">
        <f t="shared" ca="1" si="3"/>
        <v/>
      </c>
      <c r="J23" s="179"/>
      <c r="K23" s="180" t="str">
        <f t="shared" ca="1" si="1"/>
        <v/>
      </c>
      <c r="L23" s="168"/>
      <c r="M23" s="168"/>
      <c r="N23" s="181" t="str">
        <f t="shared" si="2"/>
        <v/>
      </c>
      <c r="O23" s="182"/>
      <c r="P23" s="183"/>
      <c r="Q23" s="68">
        <v>22</v>
      </c>
      <c r="R23" s="135"/>
      <c r="T23" s="263" t="s">
        <v>8</v>
      </c>
      <c r="U23" s="264"/>
      <c r="V23" s="84"/>
      <c r="W23" s="94">
        <f>COUNTIF(H2:H201,"BLUMI")</f>
        <v>0</v>
      </c>
      <c r="X23" s="139">
        <f>COUNTIFS(H2:H201,"=BLUMI", K2:K201,"&gt;0")</f>
        <v>0</v>
      </c>
      <c r="Y23" s="140">
        <f>W23-X23</f>
        <v>0</v>
      </c>
      <c r="AA23" s="232" t="s">
        <v>22</v>
      </c>
      <c r="AB23" s="233"/>
      <c r="AC23" s="233"/>
      <c r="AD23" s="79"/>
      <c r="AE23" s="95">
        <f>COUNTIF(N2:N201,"2 VIAGGI")</f>
        <v>0</v>
      </c>
    </row>
    <row r="24" spans="1:38" ht="23.25" customHeight="1" x14ac:dyDescent="0.25">
      <c r="A24" s="69">
        <v>23</v>
      </c>
      <c r="B24" s="172"/>
      <c r="C24" s="173"/>
      <c r="D24" s="174"/>
      <c r="E24" s="172"/>
      <c r="F24" s="175"/>
      <c r="G24" s="184">
        <v>23</v>
      </c>
      <c r="H24" s="185"/>
      <c r="I24" s="178" t="str">
        <f t="shared" ca="1" si="3"/>
        <v/>
      </c>
      <c r="J24" s="179"/>
      <c r="K24" s="180" t="str">
        <f t="shared" ca="1" si="1"/>
        <v/>
      </c>
      <c r="L24" s="168"/>
      <c r="M24" s="168"/>
      <c r="N24" s="181" t="str">
        <f t="shared" si="2"/>
        <v/>
      </c>
      <c r="O24" s="182"/>
      <c r="P24" s="183"/>
      <c r="Q24" s="71">
        <v>23</v>
      </c>
      <c r="R24" s="135"/>
      <c r="T24" s="88"/>
      <c r="U24" s="88"/>
      <c r="W24" s="82"/>
      <c r="AA24" s="76"/>
      <c r="AB24" s="76"/>
      <c r="AC24" s="76"/>
      <c r="AD24" s="76"/>
      <c r="AE24" s="76"/>
    </row>
    <row r="25" spans="1:38" ht="23.25" customHeight="1" x14ac:dyDescent="0.25">
      <c r="A25" s="66">
        <v>24</v>
      </c>
      <c r="B25" s="172"/>
      <c r="C25" s="173"/>
      <c r="D25" s="174"/>
      <c r="E25" s="172"/>
      <c r="F25" s="175"/>
      <c r="G25" s="184">
        <v>24</v>
      </c>
      <c r="H25" s="185"/>
      <c r="I25" s="178" t="str">
        <f t="shared" ca="1" si="3"/>
        <v/>
      </c>
      <c r="J25" s="179"/>
      <c r="K25" s="180" t="str">
        <f t="shared" ca="1" si="1"/>
        <v/>
      </c>
      <c r="L25" s="168"/>
      <c r="M25" s="168"/>
      <c r="N25" s="181" t="str">
        <f t="shared" si="2"/>
        <v/>
      </c>
      <c r="O25" s="182"/>
      <c r="P25" s="183"/>
      <c r="Q25" s="68">
        <v>24</v>
      </c>
      <c r="R25" s="135"/>
      <c r="T25" s="265" t="s">
        <v>9</v>
      </c>
      <c r="U25" s="266"/>
      <c r="V25" s="84"/>
      <c r="W25" s="96">
        <f>COUNTIF(H2:H201,"VERGELLA")</f>
        <v>0</v>
      </c>
      <c r="X25" s="139">
        <f>COUNTIFS(H2:H201,"=VERGELLA",K2:K201,"&gt;0")</f>
        <v>0</v>
      </c>
      <c r="Y25" s="140">
        <f>W25-X25</f>
        <v>0</v>
      </c>
      <c r="AA25" s="249" t="s">
        <v>23</v>
      </c>
      <c r="AB25" s="250"/>
      <c r="AC25" s="250"/>
      <c r="AD25" s="90"/>
      <c r="AE25" s="97">
        <f>COUNTIF(N2:N201,"PRECEDENZA")</f>
        <v>0</v>
      </c>
    </row>
    <row r="26" spans="1:38" ht="23.25" customHeight="1" x14ac:dyDescent="0.25">
      <c r="A26" s="69">
        <v>25</v>
      </c>
      <c r="B26" s="172"/>
      <c r="C26" s="173"/>
      <c r="D26" s="174"/>
      <c r="E26" s="172"/>
      <c r="F26" s="175"/>
      <c r="G26" s="176">
        <v>25</v>
      </c>
      <c r="H26" s="185"/>
      <c r="I26" s="178" t="str">
        <f t="shared" ca="1" si="3"/>
        <v/>
      </c>
      <c r="J26" s="179"/>
      <c r="K26" s="180" t="str">
        <f t="shared" ca="1" si="1"/>
        <v/>
      </c>
      <c r="L26" s="168"/>
      <c r="M26" s="168"/>
      <c r="N26" s="181" t="str">
        <f t="shared" si="2"/>
        <v/>
      </c>
      <c r="O26" s="182"/>
      <c r="P26" s="183"/>
      <c r="Q26" s="71">
        <v>25</v>
      </c>
      <c r="R26" s="135"/>
      <c r="AA26" s="76"/>
      <c r="AB26" s="76"/>
      <c r="AC26" s="76"/>
      <c r="AD26" s="76"/>
      <c r="AE26" s="76"/>
    </row>
    <row r="27" spans="1:38" ht="23.25" customHeight="1" x14ac:dyDescent="0.25">
      <c r="A27" s="66">
        <v>26</v>
      </c>
      <c r="B27" s="172"/>
      <c r="C27" s="173"/>
      <c r="D27" s="174"/>
      <c r="E27" s="172"/>
      <c r="F27" s="175"/>
      <c r="G27" s="184">
        <v>26</v>
      </c>
      <c r="H27" s="185"/>
      <c r="I27" s="178" t="str">
        <f t="shared" ca="1" si="3"/>
        <v/>
      </c>
      <c r="J27" s="179"/>
      <c r="K27" s="180" t="str">
        <f t="shared" ca="1" si="1"/>
        <v/>
      </c>
      <c r="L27" s="168"/>
      <c r="M27" s="168"/>
      <c r="N27" s="181" t="str">
        <f t="shared" si="2"/>
        <v/>
      </c>
      <c r="O27" s="182"/>
      <c r="P27" s="183"/>
      <c r="Q27" s="68">
        <v>26</v>
      </c>
      <c r="R27" s="135"/>
      <c r="T27" s="267" t="s">
        <v>12</v>
      </c>
      <c r="U27" s="268"/>
      <c r="V27" s="98"/>
      <c r="W27" s="99">
        <f>COUNTIF(H2:H201,"BULBI")</f>
        <v>0</v>
      </c>
      <c r="X27" s="139">
        <f>COUNTIFS(H2:H201,"=BULBI", K2:K201,"&gt;0")</f>
        <v>0</v>
      </c>
      <c r="Y27" s="140">
        <f>W27-X27</f>
        <v>0</v>
      </c>
      <c r="AA27" s="238" t="s">
        <v>24</v>
      </c>
      <c r="AB27" s="239"/>
      <c r="AC27" s="239"/>
      <c r="AD27" s="79"/>
      <c r="AE27" s="100">
        <f>COUNTIF(N2:N201,"MANCA TARGA")</f>
        <v>0</v>
      </c>
    </row>
    <row r="28" spans="1:38" ht="23.25" customHeight="1" x14ac:dyDescent="0.25">
      <c r="A28" s="69">
        <v>27</v>
      </c>
      <c r="B28" s="172"/>
      <c r="C28" s="173"/>
      <c r="D28" s="174"/>
      <c r="E28" s="172"/>
      <c r="F28" s="175"/>
      <c r="G28" s="184">
        <v>27</v>
      </c>
      <c r="H28" s="185"/>
      <c r="I28" s="178" t="str">
        <f t="shared" ca="1" si="3"/>
        <v/>
      </c>
      <c r="J28" s="179"/>
      <c r="K28" s="180" t="str">
        <f t="shared" ca="1" si="1"/>
        <v/>
      </c>
      <c r="L28" s="168"/>
      <c r="M28" s="168"/>
      <c r="N28" s="181" t="str">
        <f t="shared" si="2"/>
        <v/>
      </c>
      <c r="O28" s="182"/>
      <c r="P28" s="183"/>
      <c r="Q28" s="71">
        <v>27</v>
      </c>
      <c r="R28" s="135"/>
      <c r="AA28" s="76"/>
      <c r="AB28" s="76"/>
      <c r="AC28" s="76"/>
      <c r="AD28" s="76"/>
      <c r="AE28" s="76"/>
    </row>
    <row r="29" spans="1:38" ht="23.25" customHeight="1" x14ac:dyDescent="0.25">
      <c r="A29" s="66">
        <v>28</v>
      </c>
      <c r="B29" s="172"/>
      <c r="C29" s="173"/>
      <c r="D29" s="174"/>
      <c r="E29" s="172"/>
      <c r="F29" s="175"/>
      <c r="G29" s="176">
        <v>28</v>
      </c>
      <c r="H29" s="185"/>
      <c r="I29" s="178" t="str">
        <f t="shared" ca="1" si="3"/>
        <v/>
      </c>
      <c r="J29" s="179"/>
      <c r="K29" s="180" t="str">
        <f t="shared" ca="1" si="1"/>
        <v/>
      </c>
      <c r="L29" s="168"/>
      <c r="M29" s="168"/>
      <c r="N29" s="181" t="str">
        <f t="shared" si="2"/>
        <v/>
      </c>
      <c r="O29" s="182"/>
      <c r="P29" s="183"/>
      <c r="Q29" s="68">
        <v>28</v>
      </c>
      <c r="R29" s="135"/>
      <c r="T29" s="257" t="s">
        <v>14</v>
      </c>
      <c r="U29" s="258"/>
      <c r="V29" s="101"/>
      <c r="W29" s="102">
        <f>COUNTIF(H2:H201,"TUBI")</f>
        <v>0</v>
      </c>
      <c r="X29" s="139">
        <f>COUNTIFS(H2:H201,"=TUBI",K2:K201,"&gt;0")</f>
        <v>0</v>
      </c>
      <c r="Y29" s="140">
        <f>W29-X29</f>
        <v>0</v>
      </c>
      <c r="AA29" s="240" t="s">
        <v>25</v>
      </c>
      <c r="AB29" s="241"/>
      <c r="AC29" s="241"/>
      <c r="AD29" s="90"/>
      <c r="AE29" s="103">
        <f>COUNTIF(N2:N201,"NON IDONEO")</f>
        <v>0</v>
      </c>
    </row>
    <row r="30" spans="1:38" ht="23.25" customHeight="1" x14ac:dyDescent="0.25">
      <c r="A30" s="69">
        <v>29</v>
      </c>
      <c r="B30" s="172"/>
      <c r="C30" s="173"/>
      <c r="D30" s="174"/>
      <c r="E30" s="172"/>
      <c r="F30" s="175"/>
      <c r="G30" s="184">
        <v>29</v>
      </c>
      <c r="H30" s="185"/>
      <c r="I30" s="178" t="str">
        <f t="shared" ca="1" si="3"/>
        <v/>
      </c>
      <c r="J30" s="179"/>
      <c r="K30" s="180" t="str">
        <f t="shared" ca="1" si="1"/>
        <v/>
      </c>
      <c r="L30" s="168"/>
      <c r="M30" s="168"/>
      <c r="N30" s="181" t="str">
        <f t="shared" si="2"/>
        <v/>
      </c>
      <c r="O30" s="182"/>
      <c r="P30" s="183"/>
      <c r="Q30" s="71">
        <v>29</v>
      </c>
      <c r="R30" s="135"/>
    </row>
    <row r="31" spans="1:38" ht="23.25" customHeight="1" x14ac:dyDescent="0.25">
      <c r="A31" s="66">
        <v>30</v>
      </c>
      <c r="B31" s="172"/>
      <c r="C31" s="173"/>
      <c r="D31" s="174"/>
      <c r="E31" s="172"/>
      <c r="F31" s="175"/>
      <c r="G31" s="184">
        <v>30</v>
      </c>
      <c r="H31" s="185"/>
      <c r="I31" s="178" t="str">
        <f t="shared" ca="1" si="3"/>
        <v/>
      </c>
      <c r="J31" s="179"/>
      <c r="K31" s="180" t="str">
        <f t="shared" ca="1" si="1"/>
        <v/>
      </c>
      <c r="L31" s="168"/>
      <c r="M31" s="168"/>
      <c r="N31" s="181" t="str">
        <f t="shared" si="2"/>
        <v/>
      </c>
      <c r="O31" s="182"/>
      <c r="P31" s="183"/>
      <c r="Q31" s="68">
        <v>30</v>
      </c>
      <c r="R31" s="135"/>
      <c r="T31" s="259" t="s">
        <v>15</v>
      </c>
      <c r="U31" s="260"/>
      <c r="V31" s="84"/>
      <c r="W31" s="104">
        <f>COUNTIF(H2:H201,"PALANCOLE")</f>
        <v>0</v>
      </c>
      <c r="X31" s="139">
        <f>COUNTIFS(H2:H201,"=PALANCOLE", K2:K201,"&gt;0")</f>
        <v>0</v>
      </c>
      <c r="Y31" s="140">
        <f>W31-X31</f>
        <v>0</v>
      </c>
      <c r="AA31" s="242" t="s">
        <v>30</v>
      </c>
      <c r="AB31" s="243"/>
      <c r="AC31" s="243"/>
      <c r="AD31" s="90"/>
      <c r="AE31" s="105">
        <f>COUNTIF(N2:N201,"SCARICA")</f>
        <v>0</v>
      </c>
    </row>
    <row r="32" spans="1:38" ht="23.25" customHeight="1" x14ac:dyDescent="0.25">
      <c r="A32" s="69">
        <v>31</v>
      </c>
      <c r="B32" s="172"/>
      <c r="C32" s="173"/>
      <c r="D32" s="174"/>
      <c r="E32" s="172"/>
      <c r="F32" s="175"/>
      <c r="G32" s="176">
        <v>31</v>
      </c>
      <c r="H32" s="185"/>
      <c r="I32" s="178" t="str">
        <f t="shared" ca="1" si="3"/>
        <v/>
      </c>
      <c r="J32" s="179"/>
      <c r="K32" s="180" t="str">
        <f t="shared" ca="1" si="1"/>
        <v/>
      </c>
      <c r="L32" s="168"/>
      <c r="M32" s="168"/>
      <c r="N32" s="181" t="str">
        <f t="shared" si="2"/>
        <v/>
      </c>
      <c r="O32" s="182"/>
      <c r="P32" s="183"/>
      <c r="Q32" s="71">
        <v>31</v>
      </c>
      <c r="R32" s="135"/>
    </row>
    <row r="33" spans="1:38" ht="23.25" customHeight="1" x14ac:dyDescent="0.25">
      <c r="A33" s="66">
        <v>32</v>
      </c>
      <c r="B33" s="172"/>
      <c r="C33" s="173"/>
      <c r="D33" s="174"/>
      <c r="E33" s="172"/>
      <c r="F33" s="175"/>
      <c r="G33" s="184">
        <v>32</v>
      </c>
      <c r="H33" s="185"/>
      <c r="I33" s="178" t="str">
        <f t="shared" ca="1" si="3"/>
        <v/>
      </c>
      <c r="J33" s="179"/>
      <c r="K33" s="180" t="str">
        <f t="shared" ca="1" si="1"/>
        <v/>
      </c>
      <c r="L33" s="168"/>
      <c r="M33" s="168"/>
      <c r="N33" s="181" t="str">
        <f t="shared" si="2"/>
        <v/>
      </c>
      <c r="O33" s="182"/>
      <c r="P33" s="183"/>
      <c r="Q33" s="68">
        <v>32</v>
      </c>
      <c r="R33" s="135"/>
      <c r="T33" s="261" t="s">
        <v>28</v>
      </c>
      <c r="U33" s="262"/>
      <c r="V33" s="84"/>
      <c r="W33" s="106">
        <f>COUNTIF(H4:H201,"TRONCHI")</f>
        <v>0</v>
      </c>
      <c r="X33" s="139">
        <f>COUNTIFS(H2:H201,"=TRONCHI", K2:K201,"&gt;0")</f>
        <v>0</v>
      </c>
      <c r="Y33" s="140">
        <f>W33-X33</f>
        <v>0</v>
      </c>
      <c r="AA33" s="244" t="s">
        <v>31</v>
      </c>
      <c r="AB33" s="245"/>
      <c r="AC33" s="245"/>
      <c r="AD33" s="107"/>
      <c r="AE33" s="108">
        <f>COUNTIF(N2:N201,"CAMBIO TARGA AL CARICO")</f>
        <v>0</v>
      </c>
    </row>
    <row r="34" spans="1:38" ht="23.25" customHeight="1" thickBot="1" x14ac:dyDescent="0.3">
      <c r="A34" s="69">
        <v>33</v>
      </c>
      <c r="B34" s="172"/>
      <c r="C34" s="173"/>
      <c r="D34" s="174"/>
      <c r="E34" s="172"/>
      <c r="F34" s="175"/>
      <c r="G34" s="184">
        <v>33</v>
      </c>
      <c r="H34" s="185"/>
      <c r="I34" s="178" t="str">
        <f t="shared" ca="1" si="3"/>
        <v/>
      </c>
      <c r="J34" s="179"/>
      <c r="K34" s="180" t="str">
        <f t="shared" ca="1" si="1"/>
        <v/>
      </c>
      <c r="L34" s="168"/>
      <c r="M34" s="168"/>
      <c r="N34" s="181" t="str">
        <f t="shared" si="2"/>
        <v/>
      </c>
      <c r="O34" s="182"/>
      <c r="P34" s="183"/>
      <c r="Q34" s="71">
        <v>33</v>
      </c>
      <c r="R34" s="135"/>
    </row>
    <row r="35" spans="1:38" ht="23.25" customHeight="1" thickBot="1" x14ac:dyDescent="0.3">
      <c r="A35" s="66">
        <v>34</v>
      </c>
      <c r="B35" s="172"/>
      <c r="C35" s="173"/>
      <c r="D35" s="174"/>
      <c r="E35" s="172"/>
      <c r="F35" s="175"/>
      <c r="G35" s="176">
        <v>34</v>
      </c>
      <c r="H35" s="185"/>
      <c r="I35" s="178" t="str">
        <f t="shared" ca="1" si="3"/>
        <v/>
      </c>
      <c r="J35" s="179"/>
      <c r="K35" s="180" t="str">
        <f t="shared" ca="1" si="1"/>
        <v/>
      </c>
      <c r="L35" s="168"/>
      <c r="M35" s="168"/>
      <c r="N35" s="181" t="str">
        <f t="shared" si="2"/>
        <v/>
      </c>
      <c r="O35" s="182"/>
      <c r="P35" s="183"/>
      <c r="Q35" s="68">
        <v>34</v>
      </c>
      <c r="R35" s="135"/>
      <c r="T35" s="251" t="s">
        <v>32</v>
      </c>
      <c r="U35" s="252"/>
      <c r="V35" s="109"/>
      <c r="W35" s="110">
        <f>COUNTIF(D4:D201,"E")</f>
        <v>0</v>
      </c>
      <c r="X35" s="138"/>
      <c r="Y35" s="137"/>
      <c r="AA35" s="255" t="s">
        <v>41</v>
      </c>
      <c r="AB35" s="256"/>
      <c r="AC35" s="256"/>
      <c r="AD35" s="111"/>
      <c r="AE35" s="112">
        <f>COUNTIF(N2:N201,"USCITO SENZA BOLLA")</f>
        <v>0</v>
      </c>
    </row>
    <row r="36" spans="1:38" ht="23.25" customHeight="1" x14ac:dyDescent="0.25">
      <c r="A36" s="69">
        <v>35</v>
      </c>
      <c r="B36" s="172"/>
      <c r="C36" s="173"/>
      <c r="D36" s="174"/>
      <c r="E36" s="172"/>
      <c r="F36" s="175"/>
      <c r="G36" s="184">
        <v>35</v>
      </c>
      <c r="H36" s="185"/>
      <c r="I36" s="178" t="str">
        <f t="shared" ca="1" si="3"/>
        <v/>
      </c>
      <c r="J36" s="179"/>
      <c r="K36" s="180" t="str">
        <f t="shared" ca="1" si="1"/>
        <v/>
      </c>
      <c r="L36" s="168"/>
      <c r="M36" s="168"/>
      <c r="N36" s="181" t="str">
        <f t="shared" si="2"/>
        <v/>
      </c>
      <c r="O36" s="182"/>
      <c r="P36" s="183"/>
      <c r="Q36" s="71">
        <v>35</v>
      </c>
      <c r="R36" s="135"/>
    </row>
    <row r="37" spans="1:38" ht="23.25" customHeight="1" x14ac:dyDescent="0.25">
      <c r="A37" s="66">
        <v>36</v>
      </c>
      <c r="B37" s="172"/>
      <c r="C37" s="173"/>
      <c r="D37" s="174"/>
      <c r="E37" s="172"/>
      <c r="F37" s="175"/>
      <c r="G37" s="184">
        <v>36</v>
      </c>
      <c r="H37" s="185"/>
      <c r="I37" s="178" t="str">
        <f t="shared" ca="1" si="3"/>
        <v/>
      </c>
      <c r="J37" s="179"/>
      <c r="K37" s="180" t="str">
        <f t="shared" ca="1" si="1"/>
        <v/>
      </c>
      <c r="L37" s="168"/>
      <c r="M37" s="168"/>
      <c r="N37" s="181" t="str">
        <f t="shared" si="2"/>
        <v/>
      </c>
      <c r="O37" s="182"/>
      <c r="P37" s="183"/>
      <c r="Q37" s="68">
        <v>36</v>
      </c>
      <c r="R37" s="135"/>
      <c r="S37" s="253" t="s">
        <v>29</v>
      </c>
      <c r="T37" s="254"/>
      <c r="U37" s="254"/>
      <c r="V37" s="79"/>
      <c r="W37" s="113">
        <f>COUNTIF(N2:N201,"TRASFERIMENTO")</f>
        <v>0</v>
      </c>
      <c r="Z37" s="114"/>
      <c r="AA37" s="199"/>
      <c r="AB37" s="199"/>
      <c r="AC37" s="299"/>
      <c r="AD37" s="299"/>
      <c r="AE37" s="299"/>
      <c r="AF37" s="299"/>
      <c r="AG37" s="299"/>
      <c r="AH37" s="299"/>
      <c r="AI37" s="299"/>
      <c r="AJ37" s="199"/>
      <c r="AK37" s="199"/>
      <c r="AL37" s="199"/>
    </row>
    <row r="38" spans="1:38" ht="23.25" customHeight="1" x14ac:dyDescent="0.25">
      <c r="A38" s="69">
        <v>37</v>
      </c>
      <c r="B38" s="172"/>
      <c r="C38" s="173"/>
      <c r="D38" s="174"/>
      <c r="E38" s="172"/>
      <c r="F38" s="175"/>
      <c r="G38" s="176">
        <v>37</v>
      </c>
      <c r="H38" s="185"/>
      <c r="I38" s="178" t="str">
        <f t="shared" ca="1" si="3"/>
        <v/>
      </c>
      <c r="J38" s="179"/>
      <c r="K38" s="180" t="str">
        <f t="shared" ca="1" si="1"/>
        <v/>
      </c>
      <c r="L38" s="168"/>
      <c r="M38" s="168"/>
      <c r="N38" s="181" t="str">
        <f t="shared" si="2"/>
        <v/>
      </c>
      <c r="O38" s="182"/>
      <c r="P38" s="183"/>
      <c r="Q38" s="71">
        <v>37</v>
      </c>
      <c r="R38" s="135"/>
      <c r="S38" s="246" t="s">
        <v>34</v>
      </c>
      <c r="T38" s="247"/>
      <c r="U38" s="247"/>
      <c r="V38" s="247"/>
      <c r="W38" s="248"/>
      <c r="AA38" s="163"/>
      <c r="AB38" s="163"/>
      <c r="AC38" s="163"/>
      <c r="AD38" s="163"/>
      <c r="AE38" s="196"/>
      <c r="AF38" s="163"/>
      <c r="AG38" s="300"/>
      <c r="AH38" s="300"/>
      <c r="AI38" s="300"/>
      <c r="AJ38" s="163"/>
      <c r="AK38" s="163"/>
      <c r="AL38" s="163"/>
    </row>
    <row r="39" spans="1:38" ht="23.25" customHeight="1" x14ac:dyDescent="0.25">
      <c r="A39" s="66">
        <v>38</v>
      </c>
      <c r="B39" s="172"/>
      <c r="C39" s="173"/>
      <c r="D39" s="174"/>
      <c r="E39" s="172"/>
      <c r="F39" s="175"/>
      <c r="G39" s="184">
        <v>38</v>
      </c>
      <c r="H39" s="185"/>
      <c r="I39" s="178" t="str">
        <f t="shared" ca="1" si="3"/>
        <v/>
      </c>
      <c r="J39" s="179"/>
      <c r="K39" s="180" t="str">
        <f t="shared" ca="1" si="1"/>
        <v/>
      </c>
      <c r="L39" s="168"/>
      <c r="M39" s="168"/>
      <c r="N39" s="181" t="str">
        <f t="shared" si="2"/>
        <v/>
      </c>
      <c r="O39" s="182"/>
      <c r="P39" s="183"/>
      <c r="Q39" s="68">
        <v>38</v>
      </c>
      <c r="R39" s="135"/>
      <c r="S39" s="115" t="s">
        <v>35</v>
      </c>
      <c r="T39" s="226"/>
      <c r="U39" s="227"/>
      <c r="V39" s="116"/>
      <c r="W39" s="117">
        <f>COUNTIFS($B$2:$B$201,T39, $N$2:$N$201,$S$37,$F$2:$F$201,S40)</f>
        <v>0</v>
      </c>
      <c r="Z39" s="114"/>
      <c r="AA39" s="200"/>
      <c r="AB39" s="200"/>
      <c r="AC39" s="201"/>
      <c r="AD39" s="163"/>
      <c r="AE39" s="196"/>
      <c r="AF39" s="163"/>
      <c r="AG39" s="163"/>
      <c r="AH39" s="196"/>
      <c r="AI39" s="163"/>
      <c r="AJ39" s="200"/>
      <c r="AK39" s="163"/>
      <c r="AL39" s="195"/>
    </row>
    <row r="40" spans="1:38" ht="23.25" customHeight="1" x14ac:dyDescent="0.25">
      <c r="A40" s="69">
        <v>39</v>
      </c>
      <c r="B40" s="172"/>
      <c r="C40" s="173"/>
      <c r="D40" s="174"/>
      <c r="E40" s="172"/>
      <c r="F40" s="175"/>
      <c r="G40" s="184">
        <v>39</v>
      </c>
      <c r="H40" s="185"/>
      <c r="I40" s="178" t="str">
        <f t="shared" ca="1" si="3"/>
        <v/>
      </c>
      <c r="J40" s="179"/>
      <c r="K40" s="180" t="str">
        <f t="shared" ca="1" si="1"/>
        <v/>
      </c>
      <c r="L40" s="168"/>
      <c r="M40" s="168"/>
      <c r="N40" s="181" t="str">
        <f t="shared" si="2"/>
        <v/>
      </c>
      <c r="O40" s="182"/>
      <c r="P40" s="183"/>
      <c r="Q40" s="71">
        <v>39</v>
      </c>
      <c r="R40" s="135"/>
      <c r="S40" s="218"/>
      <c r="T40" s="203"/>
      <c r="U40" s="204"/>
      <c r="V40" s="118"/>
      <c r="W40" s="119"/>
      <c r="AA40" s="163"/>
      <c r="AB40" s="163"/>
      <c r="AC40" s="201"/>
      <c r="AD40" s="163"/>
      <c r="AE40" s="196"/>
      <c r="AF40" s="163"/>
      <c r="AG40" s="163"/>
      <c r="AH40" s="196"/>
      <c r="AI40" s="163"/>
      <c r="AJ40" s="163"/>
      <c r="AK40" s="163"/>
      <c r="AL40" s="163"/>
    </row>
    <row r="41" spans="1:38" ht="23.25" customHeight="1" x14ac:dyDescent="0.25">
      <c r="A41" s="66">
        <v>40</v>
      </c>
      <c r="B41" s="172"/>
      <c r="C41" s="173"/>
      <c r="D41" s="174"/>
      <c r="E41" s="172"/>
      <c r="F41" s="175"/>
      <c r="G41" s="176">
        <v>40</v>
      </c>
      <c r="H41" s="185"/>
      <c r="I41" s="178" t="str">
        <f t="shared" ca="1" si="3"/>
        <v/>
      </c>
      <c r="J41" s="179"/>
      <c r="K41" s="180" t="str">
        <f t="shared" ca="1" si="1"/>
        <v/>
      </c>
      <c r="L41" s="168"/>
      <c r="M41" s="168"/>
      <c r="N41" s="181" t="str">
        <f t="shared" si="2"/>
        <v/>
      </c>
      <c r="O41" s="182"/>
      <c r="P41" s="183"/>
      <c r="Q41" s="68">
        <v>40</v>
      </c>
      <c r="R41" s="135"/>
      <c r="S41" s="120" t="s">
        <v>36</v>
      </c>
      <c r="T41" s="219"/>
      <c r="U41" s="220"/>
      <c r="V41" s="121"/>
      <c r="W41" s="117">
        <f>COUNTIFS($B$2:$B$201,T41, $N$2:$N$201,$S$37,$F$2:$F$201,S42)</f>
        <v>0</v>
      </c>
      <c r="X41" s="122"/>
      <c r="Y41" s="122"/>
      <c r="Z41" s="114"/>
      <c r="AA41" s="200"/>
      <c r="AB41" s="200"/>
      <c r="AC41" s="201"/>
      <c r="AD41" s="163"/>
      <c r="AE41" s="196"/>
      <c r="AF41" s="163"/>
      <c r="AG41" s="163"/>
      <c r="AH41" s="196"/>
      <c r="AI41" s="163"/>
      <c r="AJ41" s="163"/>
      <c r="AK41" s="163"/>
      <c r="AL41" s="163"/>
    </row>
    <row r="42" spans="1:38" ht="23.25" customHeight="1" x14ac:dyDescent="0.25">
      <c r="A42" s="69">
        <v>41</v>
      </c>
      <c r="B42" s="172"/>
      <c r="C42" s="173"/>
      <c r="D42" s="174"/>
      <c r="E42" s="172"/>
      <c r="F42" s="175"/>
      <c r="G42" s="184">
        <v>41</v>
      </c>
      <c r="H42" s="185"/>
      <c r="I42" s="178" t="str">
        <f t="shared" ca="1" si="3"/>
        <v/>
      </c>
      <c r="J42" s="179"/>
      <c r="K42" s="180" t="str">
        <f t="shared" ca="1" si="1"/>
        <v/>
      </c>
      <c r="L42" s="168"/>
      <c r="M42" s="168"/>
      <c r="N42" s="181" t="str">
        <f t="shared" si="2"/>
        <v/>
      </c>
      <c r="O42" s="182"/>
      <c r="P42" s="183"/>
      <c r="Q42" s="71">
        <v>41</v>
      </c>
      <c r="R42" s="135"/>
      <c r="S42" s="218"/>
      <c r="T42" s="203"/>
      <c r="U42" s="204"/>
      <c r="V42" s="118"/>
      <c r="W42" s="119"/>
      <c r="AA42" s="163"/>
      <c r="AB42" s="163"/>
      <c r="AC42" s="201"/>
      <c r="AD42" s="163"/>
      <c r="AE42" s="196"/>
      <c r="AF42" s="163"/>
      <c r="AG42" s="163"/>
      <c r="AH42" s="196"/>
      <c r="AI42" s="163"/>
      <c r="AJ42" s="163"/>
      <c r="AK42" s="163"/>
      <c r="AL42" s="163"/>
    </row>
    <row r="43" spans="1:38" ht="23.25" customHeight="1" x14ac:dyDescent="0.25">
      <c r="A43" s="66">
        <v>42</v>
      </c>
      <c r="B43" s="172"/>
      <c r="C43" s="173"/>
      <c r="D43" s="174"/>
      <c r="E43" s="172"/>
      <c r="F43" s="175"/>
      <c r="G43" s="184">
        <v>42</v>
      </c>
      <c r="H43" s="185"/>
      <c r="I43" s="178" t="str">
        <f t="shared" ca="1" si="3"/>
        <v/>
      </c>
      <c r="J43" s="179"/>
      <c r="K43" s="180" t="str">
        <f t="shared" ca="1" si="1"/>
        <v/>
      </c>
      <c r="L43" s="168"/>
      <c r="M43" s="168"/>
      <c r="N43" s="181" t="str">
        <f t="shared" si="2"/>
        <v/>
      </c>
      <c r="O43" s="182"/>
      <c r="P43" s="183"/>
      <c r="Q43" s="68">
        <v>42</v>
      </c>
      <c r="R43" s="135"/>
      <c r="S43" s="120" t="s">
        <v>37</v>
      </c>
      <c r="T43" s="219"/>
      <c r="U43" s="220"/>
      <c r="V43" s="121"/>
      <c r="W43" s="117">
        <f>COUNTIFS($B$2:$B$201,T43, $N$2:$N$201,$S$37,$F$2:$F$201,S44)</f>
        <v>0</v>
      </c>
      <c r="Z43" s="114"/>
      <c r="AA43" s="200"/>
      <c r="AB43" s="200"/>
      <c r="AC43" s="201"/>
      <c r="AD43" s="163"/>
      <c r="AE43" s="196"/>
      <c r="AF43" s="163"/>
      <c r="AG43" s="163"/>
      <c r="AH43" s="196"/>
      <c r="AI43" s="163"/>
      <c r="AJ43" s="163"/>
      <c r="AK43" s="163"/>
      <c r="AL43" s="163"/>
    </row>
    <row r="44" spans="1:38" ht="23.25" customHeight="1" x14ac:dyDescent="0.25">
      <c r="A44" s="69">
        <v>43</v>
      </c>
      <c r="B44" s="172"/>
      <c r="C44" s="173"/>
      <c r="D44" s="174"/>
      <c r="E44" s="172"/>
      <c r="F44" s="175"/>
      <c r="G44" s="176">
        <v>43</v>
      </c>
      <c r="H44" s="185"/>
      <c r="I44" s="178" t="str">
        <f t="shared" ca="1" si="3"/>
        <v/>
      </c>
      <c r="J44" s="179"/>
      <c r="K44" s="180" t="str">
        <f t="shared" ca="1" si="1"/>
        <v/>
      </c>
      <c r="L44" s="168"/>
      <c r="M44" s="168"/>
      <c r="N44" s="181" t="str">
        <f t="shared" si="2"/>
        <v/>
      </c>
      <c r="O44" s="182"/>
      <c r="P44" s="183"/>
      <c r="Q44" s="71">
        <v>43</v>
      </c>
      <c r="R44" s="135"/>
      <c r="S44" s="218"/>
      <c r="T44" s="203"/>
      <c r="U44" s="204"/>
      <c r="V44" s="118"/>
      <c r="W44" s="119"/>
      <c r="AA44" s="163"/>
      <c r="AB44" s="163"/>
      <c r="AC44" s="201"/>
      <c r="AD44" s="163"/>
      <c r="AE44" s="196"/>
      <c r="AF44" s="163"/>
      <c r="AG44" s="163"/>
      <c r="AH44" s="196"/>
      <c r="AI44" s="163"/>
      <c r="AJ44" s="163"/>
      <c r="AK44" s="163"/>
      <c r="AL44" s="163"/>
    </row>
    <row r="45" spans="1:38" ht="23.25" customHeight="1" x14ac:dyDescent="0.25">
      <c r="A45" s="66">
        <v>44</v>
      </c>
      <c r="B45" s="172"/>
      <c r="C45" s="173"/>
      <c r="D45" s="174"/>
      <c r="E45" s="172"/>
      <c r="F45" s="175"/>
      <c r="G45" s="184">
        <v>44</v>
      </c>
      <c r="H45" s="185"/>
      <c r="I45" s="178" t="str">
        <f t="shared" ca="1" si="3"/>
        <v/>
      </c>
      <c r="J45" s="179"/>
      <c r="K45" s="180" t="str">
        <f t="shared" ca="1" si="1"/>
        <v/>
      </c>
      <c r="L45" s="168"/>
      <c r="M45" s="168"/>
      <c r="N45" s="181" t="str">
        <f t="shared" si="2"/>
        <v/>
      </c>
      <c r="O45" s="182"/>
      <c r="P45" s="183"/>
      <c r="Q45" s="68">
        <v>44</v>
      </c>
      <c r="R45" s="135"/>
      <c r="S45" s="120" t="s">
        <v>38</v>
      </c>
      <c r="T45" s="219"/>
      <c r="U45" s="220"/>
      <c r="V45" s="121"/>
      <c r="W45" s="117">
        <f>COUNTIFS($B$2:$B$201,T45, $N$2:$N$201,$S$37,$F$2:$F$201,S46)</f>
        <v>0</v>
      </c>
      <c r="Z45" s="114"/>
      <c r="AA45" s="199"/>
      <c r="AB45" s="199"/>
      <c r="AC45" s="201"/>
      <c r="AD45" s="163"/>
      <c r="AE45" s="196"/>
      <c r="AF45" s="163"/>
      <c r="AG45" s="163"/>
      <c r="AH45" s="196"/>
      <c r="AI45" s="163"/>
      <c r="AJ45" s="199"/>
      <c r="AK45" s="199"/>
      <c r="AL45" s="199"/>
    </row>
    <row r="46" spans="1:38" ht="23.25" customHeight="1" x14ac:dyDescent="0.25">
      <c r="A46" s="69">
        <v>45</v>
      </c>
      <c r="B46" s="172"/>
      <c r="C46" s="173"/>
      <c r="D46" s="174"/>
      <c r="E46" s="172"/>
      <c r="F46" s="175"/>
      <c r="G46" s="184">
        <v>45</v>
      </c>
      <c r="H46" s="185"/>
      <c r="I46" s="178" t="str">
        <f t="shared" ca="1" si="3"/>
        <v/>
      </c>
      <c r="J46" s="179"/>
      <c r="K46" s="180" t="str">
        <f t="shared" ca="1" si="1"/>
        <v/>
      </c>
      <c r="L46" s="168"/>
      <c r="M46" s="168"/>
      <c r="N46" s="181" t="str">
        <f t="shared" si="2"/>
        <v/>
      </c>
      <c r="O46" s="182"/>
      <c r="P46" s="183"/>
      <c r="Q46" s="71">
        <v>45</v>
      </c>
      <c r="R46" s="135"/>
      <c r="S46" s="218"/>
      <c r="T46" s="203"/>
      <c r="U46" s="204"/>
      <c r="V46" s="118"/>
      <c r="W46" s="119"/>
      <c r="AA46" s="163"/>
      <c r="AB46" s="163"/>
      <c r="AC46" s="201"/>
      <c r="AD46" s="163"/>
      <c r="AE46" s="196"/>
      <c r="AF46" s="163"/>
      <c r="AG46" s="163"/>
      <c r="AH46" s="196"/>
      <c r="AI46" s="163"/>
      <c r="AJ46" s="163"/>
      <c r="AK46" s="163"/>
      <c r="AL46" s="163"/>
    </row>
    <row r="47" spans="1:38" ht="23.25" customHeight="1" x14ac:dyDescent="0.25">
      <c r="A47" s="66">
        <v>46</v>
      </c>
      <c r="B47" s="172"/>
      <c r="C47" s="173"/>
      <c r="D47" s="174"/>
      <c r="E47" s="173"/>
      <c r="F47" s="175"/>
      <c r="G47" s="176">
        <v>46</v>
      </c>
      <c r="H47" s="185"/>
      <c r="I47" s="178" t="str">
        <f t="shared" ca="1" si="3"/>
        <v/>
      </c>
      <c r="J47" s="179"/>
      <c r="K47" s="180" t="str">
        <f t="shared" ca="1" si="1"/>
        <v/>
      </c>
      <c r="L47" s="168"/>
      <c r="M47" s="168"/>
      <c r="N47" s="181" t="str">
        <f t="shared" si="2"/>
        <v/>
      </c>
      <c r="O47" s="182"/>
      <c r="P47" s="183"/>
      <c r="Q47" s="68">
        <v>46</v>
      </c>
      <c r="R47" s="135"/>
      <c r="S47" s="123" t="s">
        <v>39</v>
      </c>
      <c r="T47" s="228"/>
      <c r="U47" s="229"/>
      <c r="V47" s="121"/>
      <c r="W47" s="117">
        <f>COUNTIFS($B$2:$B$201,T47, $N$2:$N$201,$S$37,$F$2:$F$201,S48)</f>
        <v>0</v>
      </c>
      <c r="AA47" s="200"/>
      <c r="AB47" s="200"/>
      <c r="AC47" s="201"/>
      <c r="AD47" s="163"/>
      <c r="AE47" s="196"/>
      <c r="AF47" s="163"/>
      <c r="AG47" s="163"/>
      <c r="AH47" s="196"/>
      <c r="AI47" s="163"/>
      <c r="AJ47" s="200"/>
      <c r="AK47" s="163"/>
      <c r="AL47" s="196"/>
    </row>
    <row r="48" spans="1:38" ht="23.25" customHeight="1" x14ac:dyDescent="0.25">
      <c r="A48" s="69">
        <v>47</v>
      </c>
      <c r="B48" s="187"/>
      <c r="C48" s="173"/>
      <c r="D48" s="174"/>
      <c r="E48" s="187"/>
      <c r="F48" s="188"/>
      <c r="G48" s="184">
        <v>47</v>
      </c>
      <c r="H48" s="185"/>
      <c r="I48" s="178" t="str">
        <f t="shared" ca="1" si="3"/>
        <v/>
      </c>
      <c r="J48" s="179"/>
      <c r="K48" s="180" t="str">
        <f t="shared" ca="1" si="1"/>
        <v/>
      </c>
      <c r="L48" s="168"/>
      <c r="M48" s="168"/>
      <c r="N48" s="181" t="str">
        <f t="shared" si="2"/>
        <v/>
      </c>
      <c r="O48" s="182"/>
      <c r="P48" s="183"/>
      <c r="Q48" s="71">
        <v>47</v>
      </c>
      <c r="R48" s="135"/>
      <c r="S48" s="202"/>
      <c r="T48" s="203"/>
      <c r="U48" s="204"/>
      <c r="V48" s="118"/>
      <c r="W48" s="124"/>
      <c r="AA48" s="163"/>
      <c r="AB48" s="163"/>
      <c r="AC48" s="201"/>
      <c r="AD48" s="163"/>
      <c r="AE48" s="196"/>
      <c r="AF48" s="163"/>
      <c r="AG48" s="163"/>
      <c r="AH48" s="196"/>
      <c r="AI48" s="163"/>
      <c r="AJ48" s="163"/>
      <c r="AK48" s="163"/>
      <c r="AL48" s="163"/>
    </row>
    <row r="49" spans="1:38" ht="23.25" customHeight="1" x14ac:dyDescent="0.25">
      <c r="A49" s="66">
        <v>48</v>
      </c>
      <c r="B49" s="172"/>
      <c r="C49" s="173"/>
      <c r="D49" s="174"/>
      <c r="E49" s="172"/>
      <c r="F49" s="175"/>
      <c r="G49" s="184">
        <v>48</v>
      </c>
      <c r="H49" s="185"/>
      <c r="I49" s="178" t="str">
        <f t="shared" ca="1" si="3"/>
        <v/>
      </c>
      <c r="J49" s="179"/>
      <c r="K49" s="180" t="str">
        <f t="shared" ca="1" si="1"/>
        <v/>
      </c>
      <c r="L49" s="168"/>
      <c r="M49" s="168"/>
      <c r="N49" s="181" t="str">
        <f t="shared" si="2"/>
        <v/>
      </c>
      <c r="O49" s="182"/>
      <c r="P49" s="183"/>
      <c r="Q49" s="68">
        <v>48</v>
      </c>
      <c r="R49" s="135"/>
      <c r="S49" s="120" t="s">
        <v>182</v>
      </c>
      <c r="T49" s="230"/>
      <c r="U49" s="231"/>
      <c r="V49" s="121"/>
      <c r="W49" s="117">
        <f>COUNTIFS($B$2:$B$201,T49, $N$2:$N$201,$S$37,$F$2:$F$201,S50)</f>
        <v>0</v>
      </c>
      <c r="AA49" s="200"/>
      <c r="AB49" s="200"/>
      <c r="AC49" s="201"/>
      <c r="AD49" s="163"/>
      <c r="AE49" s="196"/>
      <c r="AF49" s="163"/>
      <c r="AG49" s="163"/>
      <c r="AH49" s="196"/>
      <c r="AI49" s="163"/>
      <c r="AJ49" s="163"/>
      <c r="AK49" s="163"/>
      <c r="AL49" s="163"/>
    </row>
    <row r="50" spans="1:38" ht="23.25" customHeight="1" x14ac:dyDescent="0.25">
      <c r="A50" s="69">
        <v>49</v>
      </c>
      <c r="B50" s="187"/>
      <c r="C50" s="173"/>
      <c r="D50" s="174"/>
      <c r="E50" s="174"/>
      <c r="F50" s="188"/>
      <c r="G50" s="176">
        <v>49</v>
      </c>
      <c r="H50" s="185"/>
      <c r="I50" s="178" t="str">
        <f t="shared" ca="1" si="3"/>
        <v/>
      </c>
      <c r="J50" s="179"/>
      <c r="K50" s="180" t="str">
        <f t="shared" ca="1" si="1"/>
        <v/>
      </c>
      <c r="L50" s="168"/>
      <c r="M50" s="168"/>
      <c r="N50" s="181" t="str">
        <f t="shared" si="2"/>
        <v/>
      </c>
      <c r="O50" s="182"/>
      <c r="P50" s="183"/>
      <c r="Q50" s="71">
        <v>49</v>
      </c>
      <c r="R50" s="135"/>
      <c r="S50" s="202"/>
      <c r="T50" s="203"/>
      <c r="U50" s="204"/>
      <c r="V50" s="118"/>
      <c r="W50" s="125"/>
      <c r="AA50" s="163"/>
      <c r="AB50" s="163"/>
      <c r="AC50" s="201"/>
      <c r="AD50" s="163"/>
      <c r="AE50" s="196"/>
      <c r="AF50" s="163"/>
      <c r="AG50" s="163"/>
      <c r="AH50" s="196"/>
      <c r="AI50" s="163"/>
      <c r="AJ50" s="163"/>
      <c r="AK50" s="163"/>
      <c r="AL50" s="163"/>
    </row>
    <row r="51" spans="1:38" ht="22.5" customHeight="1" x14ac:dyDescent="0.25">
      <c r="A51" s="66">
        <v>50</v>
      </c>
      <c r="B51" s="187"/>
      <c r="C51" s="173"/>
      <c r="D51" s="174"/>
      <c r="E51" s="187"/>
      <c r="F51" s="188"/>
      <c r="G51" s="184">
        <v>50</v>
      </c>
      <c r="H51" s="185"/>
      <c r="I51" s="178" t="str">
        <f t="shared" ca="1" si="3"/>
        <v/>
      </c>
      <c r="J51" s="179"/>
      <c r="K51" s="180" t="str">
        <f t="shared" ca="1" si="1"/>
        <v/>
      </c>
      <c r="L51" s="168"/>
      <c r="M51" s="168"/>
      <c r="N51" s="181" t="str">
        <f t="shared" si="2"/>
        <v/>
      </c>
      <c r="O51" s="182"/>
      <c r="P51" s="183"/>
      <c r="Q51" s="68">
        <v>50</v>
      </c>
      <c r="R51" s="135"/>
      <c r="S51" s="120" t="s">
        <v>183</v>
      </c>
      <c r="T51" s="219"/>
      <c r="U51" s="220"/>
      <c r="V51" s="121"/>
      <c r="W51" s="117">
        <f>COUNTIFS($B$2:$B$201,T51, $N$2:$N$201,$S$37,$F$2:$F$201,S52)</f>
        <v>0</v>
      </c>
      <c r="AC51" s="201"/>
      <c r="AD51" s="163"/>
      <c r="AE51" s="196"/>
      <c r="AF51" s="163"/>
      <c r="AG51" s="163"/>
      <c r="AH51" s="196"/>
      <c r="AI51" s="163"/>
    </row>
    <row r="52" spans="1:38" ht="23.25" customHeight="1" x14ac:dyDescent="0.25">
      <c r="A52" s="69">
        <v>51</v>
      </c>
      <c r="B52" s="187"/>
      <c r="C52" s="173"/>
      <c r="D52" s="174"/>
      <c r="E52" s="187"/>
      <c r="F52" s="188"/>
      <c r="G52" s="184">
        <v>51</v>
      </c>
      <c r="H52" s="185"/>
      <c r="I52" s="178" t="str">
        <f t="shared" ca="1" si="3"/>
        <v/>
      </c>
      <c r="J52" s="179"/>
      <c r="K52" s="180" t="str">
        <f t="shared" ca="1" si="1"/>
        <v/>
      </c>
      <c r="L52" s="168"/>
      <c r="M52" s="168"/>
      <c r="N52" s="181" t="str">
        <f t="shared" si="2"/>
        <v/>
      </c>
      <c r="O52" s="182"/>
      <c r="P52" s="183"/>
      <c r="Q52" s="71">
        <v>51</v>
      </c>
      <c r="R52" s="135"/>
      <c r="S52" s="202"/>
      <c r="T52" s="203"/>
      <c r="U52" s="204"/>
      <c r="V52" s="118"/>
      <c r="W52" s="119"/>
      <c r="AA52" s="63" t="str" cm="1">
        <f t="array" ref="AA52:AA64">_xlfn._xlws.SORT(_xlfn.UNIQUE(MERCI!B16:'MERCI'!B50,,1))</f>
        <v>BANDA STA</v>
      </c>
      <c r="AC52" s="201"/>
      <c r="AD52" s="163"/>
      <c r="AE52" s="196"/>
      <c r="AF52" s="163"/>
      <c r="AG52" s="163"/>
      <c r="AH52" s="196"/>
      <c r="AI52" s="163"/>
    </row>
    <row r="53" spans="1:38" ht="23.25" customHeight="1" x14ac:dyDescent="0.25">
      <c r="A53" s="66">
        <v>52</v>
      </c>
      <c r="B53" s="187"/>
      <c r="C53" s="173"/>
      <c r="D53" s="174"/>
      <c r="E53" s="174"/>
      <c r="F53" s="188"/>
      <c r="G53" s="176">
        <v>52</v>
      </c>
      <c r="H53" s="185"/>
      <c r="I53" s="178" t="str">
        <f t="shared" ca="1" si="3"/>
        <v/>
      </c>
      <c r="J53" s="179"/>
      <c r="K53" s="180" t="str">
        <f t="shared" ca="1" si="1"/>
        <v/>
      </c>
      <c r="L53" s="168"/>
      <c r="M53" s="168"/>
      <c r="N53" s="181" t="str">
        <f t="shared" si="2"/>
        <v/>
      </c>
      <c r="O53" s="182"/>
      <c r="P53" s="183"/>
      <c r="Q53" s="68">
        <v>52</v>
      </c>
      <c r="R53" s="135"/>
      <c r="S53" s="120" t="s">
        <v>184</v>
      </c>
      <c r="T53" s="219"/>
      <c r="U53" s="220"/>
      <c r="V53" s="121"/>
      <c r="W53" s="117">
        <f>COUNTIFS($B$2:$B$201,T53, $N$2:$N$201,$S$37,$F$2:$F$201,S54)</f>
        <v>0</v>
      </c>
      <c r="AA53" s="63" t="str">
        <v>BARRE</v>
      </c>
      <c r="AC53" s="201"/>
      <c r="AD53" s="163"/>
      <c r="AE53" s="196"/>
      <c r="AF53" s="163"/>
      <c r="AG53" s="163"/>
      <c r="AH53" s="196"/>
      <c r="AI53" s="163"/>
    </row>
    <row r="54" spans="1:38" ht="23.25" customHeight="1" x14ac:dyDescent="0.25">
      <c r="A54" s="69">
        <v>53</v>
      </c>
      <c r="B54" s="187"/>
      <c r="C54" s="173"/>
      <c r="D54" s="174"/>
      <c r="E54" s="187"/>
      <c r="F54" s="188"/>
      <c r="G54" s="184">
        <v>53</v>
      </c>
      <c r="H54" s="185"/>
      <c r="I54" s="178" t="str">
        <f t="shared" ca="1" si="3"/>
        <v/>
      </c>
      <c r="J54" s="179"/>
      <c r="K54" s="180" t="str">
        <f t="shared" ca="1" si="1"/>
        <v/>
      </c>
      <c r="L54" s="168"/>
      <c r="M54" s="168"/>
      <c r="N54" s="181" t="str">
        <f t="shared" si="2"/>
        <v/>
      </c>
      <c r="O54" s="182"/>
      <c r="P54" s="183"/>
      <c r="Q54" s="71">
        <v>53</v>
      </c>
      <c r="R54" s="135"/>
      <c r="S54" s="202"/>
      <c r="T54" s="203"/>
      <c r="U54" s="204"/>
      <c r="V54" s="118"/>
      <c r="W54" s="119"/>
      <c r="AA54" s="63" t="str">
        <v>BILLETTE</v>
      </c>
      <c r="AC54" s="201"/>
      <c r="AD54" s="163"/>
      <c r="AE54" s="196"/>
      <c r="AF54" s="163"/>
      <c r="AG54" s="163"/>
      <c r="AH54" s="196"/>
      <c r="AI54" s="163"/>
    </row>
    <row r="55" spans="1:38" ht="23.25" customHeight="1" x14ac:dyDescent="0.25">
      <c r="A55" s="66">
        <v>54</v>
      </c>
      <c r="B55" s="187"/>
      <c r="C55" s="173"/>
      <c r="D55" s="174"/>
      <c r="E55" s="187"/>
      <c r="F55" s="188"/>
      <c r="G55" s="184">
        <v>54</v>
      </c>
      <c r="H55" s="185"/>
      <c r="I55" s="178" t="str">
        <f t="shared" ca="1" si="3"/>
        <v/>
      </c>
      <c r="J55" s="179"/>
      <c r="K55" s="180" t="str">
        <f t="shared" ca="1" si="1"/>
        <v/>
      </c>
      <c r="L55" s="168"/>
      <c r="M55" s="168"/>
      <c r="N55" s="181" t="str">
        <f t="shared" si="2"/>
        <v/>
      </c>
      <c r="O55" s="182"/>
      <c r="P55" s="183"/>
      <c r="Q55" s="68">
        <v>54</v>
      </c>
      <c r="R55" s="135"/>
      <c r="S55" s="120" t="s">
        <v>185</v>
      </c>
      <c r="T55" s="219"/>
      <c r="U55" s="220"/>
      <c r="V55" s="121"/>
      <c r="W55" s="117">
        <f>COUNTIFS($B$2:$B$201,T55, $N$2:$N$201,$S$37,$F$2:$F$201,S56)</f>
        <v>0</v>
      </c>
      <c r="AA55" s="63" t="str">
        <v>BLUMI</v>
      </c>
      <c r="AC55" s="201"/>
      <c r="AD55" s="163"/>
      <c r="AE55" s="196"/>
      <c r="AF55" s="163"/>
      <c r="AG55" s="163"/>
      <c r="AH55" s="196"/>
      <c r="AI55" s="163"/>
    </row>
    <row r="56" spans="1:38" ht="23.25" customHeight="1" x14ac:dyDescent="0.25">
      <c r="A56" s="69">
        <v>55</v>
      </c>
      <c r="B56" s="187"/>
      <c r="C56" s="173"/>
      <c r="D56" s="174"/>
      <c r="E56" s="174"/>
      <c r="F56" s="188"/>
      <c r="G56" s="176">
        <v>55</v>
      </c>
      <c r="H56" s="185"/>
      <c r="I56" s="178" t="str">
        <f t="shared" ca="1" si="3"/>
        <v/>
      </c>
      <c r="J56" s="179"/>
      <c r="K56" s="180" t="str">
        <f t="shared" ca="1" si="1"/>
        <v/>
      </c>
      <c r="L56" s="168"/>
      <c r="M56" s="168"/>
      <c r="N56" s="181" t="str">
        <f t="shared" si="2"/>
        <v/>
      </c>
      <c r="O56" s="182"/>
      <c r="P56" s="183"/>
      <c r="Q56" s="71">
        <v>55</v>
      </c>
      <c r="R56" s="135"/>
      <c r="S56" s="202"/>
      <c r="T56" s="203"/>
      <c r="U56" s="204"/>
      <c r="V56" s="118"/>
      <c r="W56" s="119"/>
      <c r="AA56" s="63" t="str">
        <v>BRAMME</v>
      </c>
      <c r="AC56" s="201"/>
      <c r="AD56" s="163"/>
      <c r="AE56" s="196"/>
      <c r="AF56" s="163"/>
      <c r="AG56" s="163"/>
      <c r="AH56" s="196"/>
      <c r="AI56" s="163"/>
    </row>
    <row r="57" spans="1:38" ht="23.25" customHeight="1" x14ac:dyDescent="0.25">
      <c r="A57" s="66">
        <v>56</v>
      </c>
      <c r="B57" s="172"/>
      <c r="C57" s="173"/>
      <c r="D57" s="174"/>
      <c r="E57" s="172"/>
      <c r="F57" s="175"/>
      <c r="G57" s="184">
        <v>56</v>
      </c>
      <c r="H57" s="185"/>
      <c r="I57" s="178" t="str">
        <f t="shared" ca="1" si="3"/>
        <v/>
      </c>
      <c r="J57" s="179"/>
      <c r="K57" s="180" t="str">
        <f t="shared" ca="1" si="1"/>
        <v/>
      </c>
      <c r="L57" s="168"/>
      <c r="M57" s="168"/>
      <c r="N57" s="181" t="str">
        <f t="shared" si="2"/>
        <v/>
      </c>
      <c r="O57" s="182"/>
      <c r="P57" s="183"/>
      <c r="Q57" s="68">
        <v>56</v>
      </c>
      <c r="R57" s="135"/>
      <c r="S57" s="120" t="s">
        <v>186</v>
      </c>
      <c r="T57" s="219"/>
      <c r="U57" s="220"/>
      <c r="V57" s="121"/>
      <c r="W57" s="117">
        <f>COUNTIFS($B$2:$B$201,T57, $N$2:$N$201,$S$37,$F$2:$F$201,S58)</f>
        <v>0</v>
      </c>
      <c r="AA57" s="63" t="str">
        <v>COILS</v>
      </c>
      <c r="AC57" s="201"/>
      <c r="AD57" s="163"/>
      <c r="AE57" s="196"/>
      <c r="AF57" s="163"/>
      <c r="AG57" s="163"/>
      <c r="AH57" s="196"/>
      <c r="AI57" s="163"/>
    </row>
    <row r="58" spans="1:38" ht="23.25" customHeight="1" x14ac:dyDescent="0.25">
      <c r="A58" s="69">
        <v>57</v>
      </c>
      <c r="B58" s="187"/>
      <c r="C58" s="173"/>
      <c r="D58" s="174"/>
      <c r="E58" s="187"/>
      <c r="F58" s="188"/>
      <c r="G58" s="184">
        <v>57</v>
      </c>
      <c r="H58" s="185"/>
      <c r="I58" s="178" t="str">
        <f t="shared" ca="1" si="3"/>
        <v/>
      </c>
      <c r="J58" s="179"/>
      <c r="K58" s="180" t="str">
        <f t="shared" ca="1" si="1"/>
        <v/>
      </c>
      <c r="L58" s="168"/>
      <c r="M58" s="168"/>
      <c r="N58" s="181" t="str">
        <f t="shared" si="2"/>
        <v/>
      </c>
      <c r="O58" s="182"/>
      <c r="P58" s="183"/>
      <c r="Q58" s="71">
        <v>57</v>
      </c>
      <c r="R58" s="135"/>
      <c r="S58" s="202"/>
      <c r="T58" s="203"/>
      <c r="U58" s="204"/>
      <c r="V58" s="118"/>
      <c r="W58" s="125"/>
      <c r="AA58" s="63" t="str">
        <v>GHISA</v>
      </c>
      <c r="AC58" s="201"/>
      <c r="AD58" s="163"/>
      <c r="AE58" s="196"/>
      <c r="AF58" s="163"/>
      <c r="AG58" s="163"/>
      <c r="AH58" s="196"/>
      <c r="AI58" s="163"/>
    </row>
    <row r="59" spans="1:38" ht="23.25" customHeight="1" x14ac:dyDescent="0.25">
      <c r="A59" s="66">
        <v>58</v>
      </c>
      <c r="B59" s="187"/>
      <c r="C59" s="173"/>
      <c r="D59" s="174"/>
      <c r="E59" s="174"/>
      <c r="F59" s="188"/>
      <c r="G59" s="176">
        <v>58</v>
      </c>
      <c r="H59" s="185"/>
      <c r="I59" s="178" t="str">
        <f t="shared" ca="1" si="3"/>
        <v/>
      </c>
      <c r="J59" s="179"/>
      <c r="K59" s="180" t="str">
        <f t="shared" ca="1" si="1"/>
        <v/>
      </c>
      <c r="L59" s="168"/>
      <c r="M59" s="168"/>
      <c r="N59" s="181" t="str">
        <f t="shared" si="2"/>
        <v/>
      </c>
      <c r="O59" s="182"/>
      <c r="P59" s="183"/>
      <c r="Q59" s="68">
        <v>58</v>
      </c>
      <c r="R59" s="135"/>
      <c r="S59" s="120" t="s">
        <v>187</v>
      </c>
      <c r="T59" s="221"/>
      <c r="U59" s="222"/>
      <c r="V59" s="121"/>
      <c r="W59" s="117">
        <f>COUNTIFS($B$2:$B$201,T59, $N$2:$N$201,$S$37,$F$2:$F$201,S60)</f>
        <v>0</v>
      </c>
      <c r="AA59" s="63" t="str">
        <v>LAMIERE</v>
      </c>
      <c r="AC59" s="201"/>
      <c r="AD59" s="163"/>
      <c r="AE59" s="196"/>
      <c r="AF59" s="163"/>
      <c r="AG59" s="163"/>
      <c r="AH59" s="196"/>
      <c r="AI59" s="163"/>
    </row>
    <row r="60" spans="1:38" ht="23.25" customHeight="1" x14ac:dyDescent="0.25">
      <c r="A60" s="69">
        <v>59</v>
      </c>
      <c r="B60" s="187"/>
      <c r="C60" s="173"/>
      <c r="D60" s="174"/>
      <c r="E60" s="187"/>
      <c r="F60" s="188"/>
      <c r="G60" s="184">
        <v>59</v>
      </c>
      <c r="H60" s="185"/>
      <c r="I60" s="178" t="str">
        <f t="shared" ca="1" si="3"/>
        <v/>
      </c>
      <c r="J60" s="179"/>
      <c r="K60" s="180" t="str">
        <f t="shared" ca="1" si="1"/>
        <v/>
      </c>
      <c r="L60" s="168"/>
      <c r="M60" s="168"/>
      <c r="N60" s="181" t="str">
        <f t="shared" si="2"/>
        <v/>
      </c>
      <c r="O60" s="182"/>
      <c r="P60" s="183"/>
      <c r="Q60" s="71">
        <v>59</v>
      </c>
      <c r="R60" s="135"/>
      <c r="S60" s="202"/>
      <c r="T60" s="203"/>
      <c r="U60" s="204"/>
      <c r="V60" s="118"/>
      <c r="W60" s="119"/>
      <c r="AA60" s="63" t="str">
        <v>PALANCOLE</v>
      </c>
      <c r="AC60" s="201"/>
      <c r="AD60" s="163"/>
      <c r="AE60" s="196"/>
      <c r="AF60" s="163"/>
      <c r="AG60" s="163"/>
      <c r="AH60" s="196"/>
      <c r="AI60" s="163"/>
    </row>
    <row r="61" spans="1:38" ht="23.25" customHeight="1" x14ac:dyDescent="0.25">
      <c r="A61" s="66">
        <v>60</v>
      </c>
      <c r="B61" s="187"/>
      <c r="C61" s="173"/>
      <c r="D61" s="174"/>
      <c r="E61" s="187"/>
      <c r="F61" s="188"/>
      <c r="G61" s="184">
        <v>60</v>
      </c>
      <c r="H61" s="185"/>
      <c r="I61" s="178" t="str">
        <f t="shared" ca="1" si="3"/>
        <v/>
      </c>
      <c r="J61" s="179"/>
      <c r="K61" s="180" t="str">
        <f t="shared" ca="1" si="1"/>
        <v/>
      </c>
      <c r="L61" s="168"/>
      <c r="M61" s="168"/>
      <c r="N61" s="181" t="str">
        <f t="shared" si="2"/>
        <v/>
      </c>
      <c r="O61" s="182"/>
      <c r="P61" s="183"/>
      <c r="Q61" s="68">
        <v>60</v>
      </c>
      <c r="R61" s="135"/>
      <c r="S61" s="120" t="s">
        <v>188</v>
      </c>
      <c r="T61" s="219"/>
      <c r="U61" s="220"/>
      <c r="V61" s="121"/>
      <c r="W61" s="117">
        <f>COUNTIFS($B$2:$B$201,T61, $N$2:$N$201,$S$37,$F$2:$F$201,S62)</f>
        <v>0</v>
      </c>
      <c r="AA61" s="63" t="str">
        <v>PROFILI ACC</v>
      </c>
    </row>
    <row r="62" spans="1:38" ht="23.25" customHeight="1" x14ac:dyDescent="0.25">
      <c r="A62" s="69">
        <v>61</v>
      </c>
      <c r="B62" s="187"/>
      <c r="C62" s="173"/>
      <c r="D62" s="174"/>
      <c r="E62" s="174"/>
      <c r="F62" s="188"/>
      <c r="G62" s="176">
        <v>61</v>
      </c>
      <c r="H62" s="185"/>
      <c r="I62" s="178" t="str">
        <f t="shared" ca="1" si="3"/>
        <v/>
      </c>
      <c r="J62" s="179"/>
      <c r="K62" s="180" t="str">
        <f t="shared" ca="1" si="1"/>
        <v/>
      </c>
      <c r="L62" s="168"/>
      <c r="M62" s="168"/>
      <c r="N62" s="181" t="str">
        <f t="shared" si="2"/>
        <v/>
      </c>
      <c r="O62" s="182"/>
      <c r="P62" s="183"/>
      <c r="Q62" s="71">
        <v>61</v>
      </c>
      <c r="R62" s="135"/>
      <c r="S62" s="202"/>
      <c r="T62" s="203"/>
      <c r="U62" s="204"/>
      <c r="V62" s="118"/>
      <c r="W62" s="119"/>
      <c r="AA62" s="63" t="str">
        <v>SEGATI</v>
      </c>
    </row>
    <row r="63" spans="1:38" ht="23.25" customHeight="1" x14ac:dyDescent="0.25">
      <c r="A63" s="66">
        <v>62</v>
      </c>
      <c r="B63" s="172"/>
      <c r="C63" s="173"/>
      <c r="D63" s="174"/>
      <c r="E63" s="172"/>
      <c r="F63" s="175"/>
      <c r="G63" s="184">
        <v>62</v>
      </c>
      <c r="H63" s="185"/>
      <c r="I63" s="178" t="str">
        <f t="shared" ca="1" si="3"/>
        <v/>
      </c>
      <c r="J63" s="179"/>
      <c r="K63" s="180" t="str">
        <f t="shared" ca="1" si="1"/>
        <v/>
      </c>
      <c r="L63" s="168"/>
      <c r="M63" s="168"/>
      <c r="N63" s="181" t="str">
        <f t="shared" si="2"/>
        <v/>
      </c>
      <c r="O63" s="182"/>
      <c r="P63" s="183"/>
      <c r="Q63" s="68">
        <v>62</v>
      </c>
      <c r="R63" s="135"/>
      <c r="S63" s="120" t="s">
        <v>189</v>
      </c>
      <c r="T63" s="219"/>
      <c r="U63" s="220"/>
      <c r="V63" s="121"/>
      <c r="W63" s="117">
        <f>COUNTIFS($B$2:$B$201,T63, $N$2:$N$201,$S$37,$F$2:$F$201,S64)</f>
        <v>0</v>
      </c>
      <c r="AA63" s="63" t="str">
        <v>TRONCHI</v>
      </c>
    </row>
    <row r="64" spans="1:38" ht="23.25" customHeight="1" x14ac:dyDescent="0.25">
      <c r="A64" s="69">
        <v>63</v>
      </c>
      <c r="B64" s="172"/>
      <c r="C64" s="173"/>
      <c r="D64" s="174"/>
      <c r="E64" s="172"/>
      <c r="F64" s="175"/>
      <c r="G64" s="184">
        <v>63</v>
      </c>
      <c r="H64" s="185"/>
      <c r="I64" s="178" t="str">
        <f t="shared" ca="1" si="3"/>
        <v/>
      </c>
      <c r="J64" s="179"/>
      <c r="K64" s="180" t="str">
        <f t="shared" ca="1" si="1"/>
        <v/>
      </c>
      <c r="L64" s="168"/>
      <c r="M64" s="168"/>
      <c r="N64" s="181" t="str">
        <f t="shared" si="2"/>
        <v/>
      </c>
      <c r="O64" s="182"/>
      <c r="P64" s="183"/>
      <c r="Q64" s="71">
        <v>63</v>
      </c>
      <c r="R64" s="135"/>
      <c r="S64" s="202"/>
      <c r="T64" s="203"/>
      <c r="U64" s="204"/>
      <c r="V64" s="126"/>
      <c r="W64" s="125"/>
      <c r="AA64" s="63" t="str">
        <v>TUBI</v>
      </c>
    </row>
    <row r="65" spans="1:23" ht="23.25" customHeight="1" x14ac:dyDescent="0.25">
      <c r="A65" s="66">
        <v>64</v>
      </c>
      <c r="B65" s="187"/>
      <c r="C65" s="173"/>
      <c r="D65" s="174"/>
      <c r="E65" s="174"/>
      <c r="F65" s="188"/>
      <c r="G65" s="176">
        <v>64</v>
      </c>
      <c r="H65" s="185"/>
      <c r="I65" s="178" t="str">
        <f t="shared" ca="1" si="3"/>
        <v/>
      </c>
      <c r="J65" s="179"/>
      <c r="K65" s="180" t="str">
        <f t="shared" ca="1" si="1"/>
        <v/>
      </c>
      <c r="L65" s="168"/>
      <c r="M65" s="168"/>
      <c r="N65" s="181" t="str">
        <f t="shared" si="2"/>
        <v/>
      </c>
      <c r="O65" s="182"/>
      <c r="P65" s="183"/>
      <c r="Q65" s="68">
        <v>64</v>
      </c>
      <c r="R65" s="135"/>
      <c r="S65" s="120" t="s">
        <v>190</v>
      </c>
      <c r="T65" s="221"/>
      <c r="U65" s="222"/>
      <c r="V65" s="121"/>
      <c r="W65" s="117">
        <f>COUNTIFS($B$2:$B$201,T65, $N$2:$N$201,$S$37,$F$2:$F$201,S66)</f>
        <v>0</v>
      </c>
    </row>
    <row r="66" spans="1:23" ht="23.25" customHeight="1" x14ac:dyDescent="0.25">
      <c r="A66" s="69">
        <v>65</v>
      </c>
      <c r="B66" s="187"/>
      <c r="C66" s="173"/>
      <c r="D66" s="174"/>
      <c r="E66" s="187"/>
      <c r="F66" s="188"/>
      <c r="G66" s="184">
        <v>65</v>
      </c>
      <c r="H66" s="185"/>
      <c r="I66" s="178" t="str">
        <f t="shared" ca="1" si="3"/>
        <v/>
      </c>
      <c r="J66" s="179"/>
      <c r="K66" s="180" t="str">
        <f t="shared" ca="1" si="1"/>
        <v/>
      </c>
      <c r="L66" s="168"/>
      <c r="M66" s="168"/>
      <c r="N66" s="181" t="str">
        <f t="shared" ref="N66:N129" si="4">IF(OR(AND(B66=$T$39,F66=$S$40,B66&lt;&gt;"",F66&lt;&gt;""),AND(B66=$T$41,F66=$S$42,B66&lt;&gt;"",F66&lt;&gt;""),AND(B66=$T$43,F66=$S$44,B66&lt;&gt;"",F66&lt;&gt;""),AND(B66=$T$45,F66=$S$46,B66&lt;&gt;"",F66&lt;&gt;""),AND(B66=$T$47,F66=$S$48,B66&lt;&gt;"",F66&lt;&gt;""),AND(B66=$T$49,F66=$S$50,B66&lt;&gt;"",F66&lt;&gt;""),AND(B66=$T$51,F66=$S$52,B66&lt;&gt;"",F66&lt;&gt;""),AND(B66=$T$53,F66=$S$54,B66&lt;&gt;"",F66&lt;&gt;""),AND(B66=$T$55,F66=$S$56,B66&lt;&gt;"",F66&lt;&gt;""),AND(B66=$T$57,F66=$S$58,B66&lt;&gt;"",F66&lt;&gt;""),AND(B66=$T$59,F66=$S$60,B66&lt;&gt;"",F66&lt;&gt;""),AND(B66=$T$61,F66=$S$62,B66&lt;&gt;"",F66&lt;&gt;""),AND(B66=$T$63,F66=$S$64,B66&lt;&gt;"",F66&lt;&gt;""),AND(B66=$T$65,F66=$S$66,B66&lt;&gt;"",F66&lt;&gt;""),AND(B66=$T$67,F66=$S$68,B66&lt;&gt;"",F66&lt;&gt;""),AND(B66=$T$69,F66=$S$70,B66&lt;&gt;"",F66&lt;&gt;""),AND(B66=$T$71,F66=$S$72,B66&lt;&gt;"",F66&lt;&gt;""),AND(B66=$T$73,F66=$S$74,B66&lt;&gt;"",F66&lt;&gt;""),AND(B66=$T$75,F66=$S$76,B66&lt;&gt;"",F66&lt;&gt;""),AND(B66=$T$77,F66=$S$78,B66&lt;&gt;"",F66&lt;&gt;""),AND(B66=$T$79,F66=$S$80,B66&lt;&gt;"",F66&lt;&gt;""),AND(B66=$T$81,F66=$S$82,B66&lt;&gt;"",F66&lt;&gt;"")),"TRASFERIMENTO","")</f>
        <v/>
      </c>
      <c r="O66" s="182"/>
      <c r="P66" s="183"/>
      <c r="Q66" s="71">
        <v>65</v>
      </c>
      <c r="R66" s="135"/>
      <c r="S66" s="202"/>
      <c r="T66" s="203"/>
      <c r="U66" s="204"/>
      <c r="V66" s="118"/>
      <c r="W66" s="119"/>
    </row>
    <row r="67" spans="1:23" ht="23.25" customHeight="1" x14ac:dyDescent="0.25">
      <c r="A67" s="66">
        <v>66</v>
      </c>
      <c r="B67" s="187"/>
      <c r="C67" s="173"/>
      <c r="D67" s="174"/>
      <c r="E67" s="187"/>
      <c r="F67" s="188"/>
      <c r="G67" s="184">
        <v>66</v>
      </c>
      <c r="H67" s="185"/>
      <c r="I67" s="178" t="str">
        <f t="shared" ca="1" si="3"/>
        <v/>
      </c>
      <c r="J67" s="179"/>
      <c r="K67" s="180" t="str">
        <f t="shared" ca="1" si="1"/>
        <v/>
      </c>
      <c r="L67" s="168"/>
      <c r="M67" s="168"/>
      <c r="N67" s="181" t="str">
        <f t="shared" si="4"/>
        <v/>
      </c>
      <c r="O67" s="182"/>
      <c r="P67" s="183"/>
      <c r="Q67" s="68">
        <v>66</v>
      </c>
      <c r="R67" s="135"/>
      <c r="S67" s="120" t="s">
        <v>191</v>
      </c>
      <c r="T67" s="219"/>
      <c r="U67" s="220"/>
      <c r="V67" s="121"/>
      <c r="W67" s="117">
        <f>COUNTIFS($B$2:$B$201,T67, $N$2:$N$201,$S$37,$F$2:$F$201,S68)</f>
        <v>0</v>
      </c>
    </row>
    <row r="68" spans="1:23" ht="23.25" customHeight="1" x14ac:dyDescent="0.25">
      <c r="A68" s="69">
        <v>67</v>
      </c>
      <c r="B68" s="187"/>
      <c r="C68" s="173"/>
      <c r="D68" s="174"/>
      <c r="E68" s="174"/>
      <c r="F68" s="188"/>
      <c r="G68" s="176">
        <v>67</v>
      </c>
      <c r="H68" s="185"/>
      <c r="I68" s="178" t="str">
        <f t="shared" ref="I68:I131" ca="1" si="5">IF(H68&lt;&gt;"", IF(I68="", NOW(), I68), "")</f>
        <v/>
      </c>
      <c r="J68" s="179"/>
      <c r="K68" s="180" t="str">
        <f t="shared" ref="K68:K69" ca="1" si="6">IF(L68&lt;&gt;"", IF(K68="", NOW(), K68), "")</f>
        <v/>
      </c>
      <c r="L68" s="168"/>
      <c r="M68" s="168"/>
      <c r="N68" s="181" t="str">
        <f t="shared" si="4"/>
        <v/>
      </c>
      <c r="O68" s="182"/>
      <c r="P68" s="183"/>
      <c r="Q68" s="71">
        <v>67</v>
      </c>
      <c r="R68" s="135"/>
      <c r="S68" s="202"/>
      <c r="T68" s="203"/>
      <c r="U68" s="204"/>
      <c r="V68" s="118"/>
      <c r="W68" s="119"/>
    </row>
    <row r="69" spans="1:23" ht="23.25" customHeight="1" x14ac:dyDescent="0.25">
      <c r="A69" s="66">
        <v>68</v>
      </c>
      <c r="B69" s="187"/>
      <c r="C69" s="173"/>
      <c r="D69" s="174"/>
      <c r="E69" s="187"/>
      <c r="F69" s="188"/>
      <c r="G69" s="184">
        <v>68</v>
      </c>
      <c r="H69" s="185"/>
      <c r="I69" s="178" t="str">
        <f t="shared" ca="1" si="5"/>
        <v/>
      </c>
      <c r="J69" s="179"/>
      <c r="K69" s="180" t="str">
        <f t="shared" ca="1" si="6"/>
        <v/>
      </c>
      <c r="L69" s="168"/>
      <c r="M69" s="168"/>
      <c r="N69" s="181" t="str">
        <f t="shared" si="4"/>
        <v/>
      </c>
      <c r="O69" s="182"/>
      <c r="P69" s="183"/>
      <c r="Q69" s="68">
        <v>68</v>
      </c>
      <c r="R69" s="135"/>
      <c r="S69" s="120" t="s">
        <v>192</v>
      </c>
      <c r="T69" s="219"/>
      <c r="U69" s="220"/>
      <c r="V69" s="121"/>
      <c r="W69" s="117">
        <f>COUNTIFS($B$2:$B$201,T69, $N$2:$N$201,$S$37,$F$2:$F$201,S70)</f>
        <v>0</v>
      </c>
    </row>
    <row r="70" spans="1:23" ht="23.25" customHeight="1" x14ac:dyDescent="0.25">
      <c r="A70" s="69">
        <v>69</v>
      </c>
      <c r="B70" s="187"/>
      <c r="C70" s="174"/>
      <c r="D70" s="174"/>
      <c r="E70" s="187"/>
      <c r="F70" s="188"/>
      <c r="G70" s="184">
        <v>69</v>
      </c>
      <c r="H70" s="185"/>
      <c r="I70" s="178" t="str">
        <f t="shared" ca="1" si="5"/>
        <v/>
      </c>
      <c r="J70" s="179"/>
      <c r="K70" s="180" t="str">
        <f t="shared" ref="K70:K131" ca="1" si="7">IF(L70&lt;&gt;"", IF(K70="", NOW(), K70), "")</f>
        <v/>
      </c>
      <c r="L70" s="168"/>
      <c r="M70" s="168"/>
      <c r="N70" s="181" t="str">
        <f t="shared" si="4"/>
        <v/>
      </c>
      <c r="O70" s="182"/>
      <c r="P70" s="183"/>
      <c r="Q70" s="71">
        <v>69</v>
      </c>
      <c r="R70" s="135"/>
      <c r="S70" s="202"/>
      <c r="T70" s="203"/>
      <c r="U70" s="204"/>
      <c r="V70" s="126"/>
      <c r="W70" s="125"/>
    </row>
    <row r="71" spans="1:23" ht="23.25" customHeight="1" x14ac:dyDescent="0.25">
      <c r="A71" s="66">
        <v>70</v>
      </c>
      <c r="B71" s="187"/>
      <c r="C71" s="174"/>
      <c r="D71" s="174"/>
      <c r="E71" s="174"/>
      <c r="F71" s="188"/>
      <c r="G71" s="176">
        <v>70</v>
      </c>
      <c r="H71" s="185"/>
      <c r="I71" s="178" t="str">
        <f t="shared" ca="1" si="5"/>
        <v/>
      </c>
      <c r="J71" s="179"/>
      <c r="K71" s="180" t="str">
        <f t="shared" ca="1" si="7"/>
        <v/>
      </c>
      <c r="L71" s="168"/>
      <c r="M71" s="168"/>
      <c r="N71" s="181" t="str">
        <f t="shared" si="4"/>
        <v/>
      </c>
      <c r="O71" s="182"/>
      <c r="P71" s="183"/>
      <c r="Q71" s="68">
        <v>70</v>
      </c>
      <c r="R71" s="135"/>
      <c r="S71" s="120" t="s">
        <v>193</v>
      </c>
      <c r="T71" s="221"/>
      <c r="U71" s="222"/>
      <c r="V71" s="121"/>
      <c r="W71" s="117">
        <f>COUNTIFS($B$2:$B$201,T71, $N$2:$N$201,$S$37,$F$2:$F$201,S72)</f>
        <v>0</v>
      </c>
    </row>
    <row r="72" spans="1:23" ht="23.25" customHeight="1" x14ac:dyDescent="0.25">
      <c r="A72" s="69">
        <v>71</v>
      </c>
      <c r="B72" s="187"/>
      <c r="C72" s="174"/>
      <c r="D72" s="174"/>
      <c r="E72" s="187"/>
      <c r="F72" s="188"/>
      <c r="G72" s="184">
        <v>71</v>
      </c>
      <c r="H72" s="185"/>
      <c r="I72" s="178" t="str">
        <f t="shared" ca="1" si="5"/>
        <v/>
      </c>
      <c r="J72" s="179"/>
      <c r="K72" s="180" t="str">
        <f t="shared" ca="1" si="7"/>
        <v/>
      </c>
      <c r="L72" s="168"/>
      <c r="M72" s="168"/>
      <c r="N72" s="181" t="str">
        <f t="shared" si="4"/>
        <v/>
      </c>
      <c r="O72" s="182"/>
      <c r="P72" s="183"/>
      <c r="Q72" s="71">
        <v>71</v>
      </c>
      <c r="R72" s="135"/>
      <c r="S72" s="202"/>
      <c r="T72" s="203"/>
      <c r="U72" s="204"/>
      <c r="V72" s="118"/>
      <c r="W72" s="119"/>
    </row>
    <row r="73" spans="1:23" ht="23.25" customHeight="1" x14ac:dyDescent="0.25">
      <c r="A73" s="66">
        <v>72</v>
      </c>
      <c r="B73" s="187"/>
      <c r="C73" s="174"/>
      <c r="D73" s="174"/>
      <c r="E73" s="187"/>
      <c r="F73" s="188"/>
      <c r="G73" s="184">
        <v>72</v>
      </c>
      <c r="H73" s="185"/>
      <c r="I73" s="178" t="str">
        <f t="shared" ca="1" si="5"/>
        <v/>
      </c>
      <c r="J73" s="179"/>
      <c r="K73" s="180" t="str">
        <f t="shared" ca="1" si="7"/>
        <v/>
      </c>
      <c r="L73" s="168"/>
      <c r="M73" s="168"/>
      <c r="N73" s="181" t="str">
        <f t="shared" si="4"/>
        <v/>
      </c>
      <c r="O73" s="182"/>
      <c r="P73" s="183"/>
      <c r="Q73" s="68">
        <v>72</v>
      </c>
      <c r="R73" s="135"/>
      <c r="S73" s="120" t="s">
        <v>194</v>
      </c>
      <c r="T73" s="219"/>
      <c r="U73" s="220"/>
      <c r="V73" s="121"/>
      <c r="W73" s="117">
        <f>COUNTIFS($B$2:$B$201,T73, $N$2:$N$201,$S$37,$F$2:$F$201,S74)</f>
        <v>0</v>
      </c>
    </row>
    <row r="74" spans="1:23" ht="23.25" customHeight="1" x14ac:dyDescent="0.25">
      <c r="A74" s="69">
        <v>73</v>
      </c>
      <c r="B74" s="187"/>
      <c r="C74" s="174"/>
      <c r="D74" s="174"/>
      <c r="E74" s="174"/>
      <c r="F74" s="188"/>
      <c r="G74" s="176">
        <v>73</v>
      </c>
      <c r="H74" s="185"/>
      <c r="I74" s="178" t="str">
        <f t="shared" ca="1" si="5"/>
        <v/>
      </c>
      <c r="J74" s="179"/>
      <c r="K74" s="180" t="str">
        <f t="shared" ca="1" si="7"/>
        <v/>
      </c>
      <c r="L74" s="168"/>
      <c r="M74" s="168"/>
      <c r="N74" s="181" t="str">
        <f t="shared" si="4"/>
        <v/>
      </c>
      <c r="O74" s="182"/>
      <c r="P74" s="183"/>
      <c r="Q74" s="71">
        <v>73</v>
      </c>
      <c r="R74" s="135"/>
      <c r="S74" s="202"/>
      <c r="T74" s="203"/>
      <c r="U74" s="204"/>
      <c r="V74" s="118"/>
      <c r="W74" s="119"/>
    </row>
    <row r="75" spans="1:23" ht="23.25" customHeight="1" x14ac:dyDescent="0.25">
      <c r="A75" s="66">
        <v>74</v>
      </c>
      <c r="B75" s="187"/>
      <c r="C75" s="174"/>
      <c r="D75" s="174"/>
      <c r="E75" s="187"/>
      <c r="F75" s="188"/>
      <c r="G75" s="184">
        <v>74</v>
      </c>
      <c r="H75" s="185"/>
      <c r="I75" s="178" t="str">
        <f t="shared" ca="1" si="5"/>
        <v/>
      </c>
      <c r="J75" s="179"/>
      <c r="K75" s="180" t="str">
        <f t="shared" ca="1" si="7"/>
        <v/>
      </c>
      <c r="L75" s="168"/>
      <c r="M75" s="168"/>
      <c r="N75" s="181" t="str">
        <f t="shared" si="4"/>
        <v/>
      </c>
      <c r="O75" s="182"/>
      <c r="P75" s="183"/>
      <c r="Q75" s="68">
        <v>74</v>
      </c>
      <c r="R75" s="135"/>
      <c r="S75" s="120" t="s">
        <v>195</v>
      </c>
      <c r="T75" s="219"/>
      <c r="U75" s="220"/>
      <c r="V75" s="121"/>
      <c r="W75" s="117">
        <f>COUNTIFS($B$2:$B$201,T75, $N$2:$N$201,$S$37,$F$2:$F$201,S76)</f>
        <v>0</v>
      </c>
    </row>
    <row r="76" spans="1:23" ht="23.25" customHeight="1" x14ac:dyDescent="0.25">
      <c r="A76" s="69">
        <v>75</v>
      </c>
      <c r="B76" s="187"/>
      <c r="C76" s="174"/>
      <c r="D76" s="174"/>
      <c r="E76" s="187"/>
      <c r="F76" s="188"/>
      <c r="G76" s="184">
        <v>75</v>
      </c>
      <c r="H76" s="185"/>
      <c r="I76" s="178" t="str">
        <f t="shared" ca="1" si="5"/>
        <v/>
      </c>
      <c r="J76" s="179"/>
      <c r="K76" s="180" t="str">
        <f t="shared" ca="1" si="7"/>
        <v/>
      </c>
      <c r="L76" s="168"/>
      <c r="M76" s="168"/>
      <c r="N76" s="181" t="str">
        <f t="shared" si="4"/>
        <v/>
      </c>
      <c r="O76" s="182"/>
      <c r="P76" s="183"/>
      <c r="Q76" s="71">
        <v>75</v>
      </c>
      <c r="R76" s="135"/>
      <c r="S76" s="202"/>
      <c r="T76" s="203"/>
      <c r="U76" s="204"/>
      <c r="V76" s="126"/>
      <c r="W76" s="125"/>
    </row>
    <row r="77" spans="1:23" ht="23.25" customHeight="1" x14ac:dyDescent="0.25">
      <c r="A77" s="66">
        <v>76</v>
      </c>
      <c r="B77" s="187"/>
      <c r="C77" s="174"/>
      <c r="D77" s="174"/>
      <c r="E77" s="174"/>
      <c r="F77" s="188"/>
      <c r="G77" s="176">
        <v>76</v>
      </c>
      <c r="H77" s="185"/>
      <c r="I77" s="178" t="str">
        <f t="shared" ca="1" si="5"/>
        <v/>
      </c>
      <c r="J77" s="179"/>
      <c r="K77" s="180" t="str">
        <f t="shared" ca="1" si="7"/>
        <v/>
      </c>
      <c r="L77" s="168"/>
      <c r="M77" s="168"/>
      <c r="N77" s="181" t="str">
        <f t="shared" si="4"/>
        <v/>
      </c>
      <c r="O77" s="182"/>
      <c r="P77" s="183"/>
      <c r="Q77" s="68">
        <v>76</v>
      </c>
      <c r="R77" s="135"/>
      <c r="S77" s="120" t="s">
        <v>196</v>
      </c>
      <c r="T77" s="221"/>
      <c r="U77" s="222"/>
      <c r="V77" s="121"/>
      <c r="W77" s="117">
        <f>COUNTIFS($B$2:$B$201,T77, $N$2:$N$201,$S$37,$F$2:$F$201,S78)</f>
        <v>0</v>
      </c>
    </row>
    <row r="78" spans="1:23" ht="23.25" customHeight="1" x14ac:dyDescent="0.25">
      <c r="A78" s="69">
        <v>77</v>
      </c>
      <c r="B78" s="187"/>
      <c r="C78" s="174"/>
      <c r="D78" s="174"/>
      <c r="E78" s="187"/>
      <c r="F78" s="188"/>
      <c r="G78" s="184">
        <v>77</v>
      </c>
      <c r="H78" s="185"/>
      <c r="I78" s="178" t="str">
        <f t="shared" ca="1" si="5"/>
        <v/>
      </c>
      <c r="J78" s="179"/>
      <c r="K78" s="180" t="str">
        <f t="shared" ca="1" si="7"/>
        <v/>
      </c>
      <c r="L78" s="168"/>
      <c r="M78" s="168"/>
      <c r="N78" s="181" t="str">
        <f t="shared" si="4"/>
        <v/>
      </c>
      <c r="O78" s="182"/>
      <c r="P78" s="183"/>
      <c r="Q78" s="71">
        <v>77</v>
      </c>
      <c r="R78" s="135"/>
      <c r="S78" s="202"/>
      <c r="T78" s="203"/>
      <c r="U78" s="204"/>
      <c r="V78" s="118"/>
      <c r="W78" s="119"/>
    </row>
    <row r="79" spans="1:23" ht="23.25" customHeight="1" x14ac:dyDescent="0.25">
      <c r="A79" s="66">
        <v>78</v>
      </c>
      <c r="B79" s="187"/>
      <c r="C79" s="174"/>
      <c r="D79" s="174"/>
      <c r="E79" s="187"/>
      <c r="F79" s="188"/>
      <c r="G79" s="184">
        <v>78</v>
      </c>
      <c r="H79" s="185"/>
      <c r="I79" s="178" t="str">
        <f t="shared" ca="1" si="5"/>
        <v/>
      </c>
      <c r="J79" s="179"/>
      <c r="K79" s="180" t="str">
        <f t="shared" ca="1" si="7"/>
        <v/>
      </c>
      <c r="L79" s="168"/>
      <c r="M79" s="168"/>
      <c r="N79" s="181" t="str">
        <f t="shared" si="4"/>
        <v/>
      </c>
      <c r="O79" s="182"/>
      <c r="P79" s="183"/>
      <c r="Q79" s="68">
        <v>78</v>
      </c>
      <c r="R79" s="135"/>
      <c r="S79" s="120" t="s">
        <v>197</v>
      </c>
      <c r="T79" s="219"/>
      <c r="U79" s="220"/>
      <c r="V79" s="121"/>
      <c r="W79" s="117">
        <f>COUNTIFS($B$2:$B$201,T79, $N$2:$N$201,$S$37,$F$2:$F$201,S80)</f>
        <v>0</v>
      </c>
    </row>
    <row r="80" spans="1:23" ht="23.25" customHeight="1" x14ac:dyDescent="0.25">
      <c r="A80" s="69">
        <v>79</v>
      </c>
      <c r="B80" s="187"/>
      <c r="C80" s="174"/>
      <c r="D80" s="174"/>
      <c r="E80" s="174"/>
      <c r="F80" s="188"/>
      <c r="G80" s="176">
        <v>79</v>
      </c>
      <c r="H80" s="185"/>
      <c r="I80" s="178" t="str">
        <f t="shared" ca="1" si="5"/>
        <v/>
      </c>
      <c r="J80" s="179"/>
      <c r="K80" s="180" t="str">
        <f t="shared" ca="1" si="7"/>
        <v/>
      </c>
      <c r="L80" s="168"/>
      <c r="M80" s="168"/>
      <c r="N80" s="181" t="str">
        <f t="shared" si="4"/>
        <v/>
      </c>
      <c r="O80" s="182"/>
      <c r="P80" s="183"/>
      <c r="Q80" s="71">
        <v>79</v>
      </c>
      <c r="R80" s="135"/>
      <c r="S80" s="202"/>
      <c r="T80" s="203"/>
      <c r="U80" s="204"/>
      <c r="V80" s="118"/>
      <c r="W80" s="119"/>
    </row>
    <row r="81" spans="1:23" ht="23.25" customHeight="1" x14ac:dyDescent="0.25">
      <c r="A81" s="66">
        <v>80</v>
      </c>
      <c r="B81" s="187"/>
      <c r="C81" s="174"/>
      <c r="D81" s="174"/>
      <c r="E81" s="187"/>
      <c r="F81" s="188"/>
      <c r="G81" s="184">
        <v>80</v>
      </c>
      <c r="H81" s="185"/>
      <c r="I81" s="178" t="str">
        <f t="shared" ca="1" si="5"/>
        <v/>
      </c>
      <c r="J81" s="179"/>
      <c r="K81" s="180" t="str">
        <f t="shared" ca="1" si="7"/>
        <v/>
      </c>
      <c r="L81" s="168"/>
      <c r="M81" s="168"/>
      <c r="N81" s="181" t="str">
        <f t="shared" si="4"/>
        <v/>
      </c>
      <c r="O81" s="182"/>
      <c r="P81" s="183"/>
      <c r="Q81" s="68">
        <v>80</v>
      </c>
      <c r="R81" s="135"/>
      <c r="S81" s="120" t="s">
        <v>198</v>
      </c>
      <c r="T81" s="219"/>
      <c r="U81" s="220"/>
      <c r="V81" s="121"/>
      <c r="W81" s="117">
        <f>COUNTIFS($B$2:$B$201,T81, $N$2:$N$201,$S$37,$F$2:$F$201,S82)</f>
        <v>0</v>
      </c>
    </row>
    <row r="82" spans="1:23" ht="23.25" customHeight="1" x14ac:dyDescent="0.25">
      <c r="A82" s="69">
        <v>81</v>
      </c>
      <c r="B82" s="187"/>
      <c r="C82" s="174"/>
      <c r="D82" s="174"/>
      <c r="E82" s="187"/>
      <c r="F82" s="188"/>
      <c r="G82" s="184">
        <v>81</v>
      </c>
      <c r="H82" s="185"/>
      <c r="I82" s="178" t="str">
        <f t="shared" ca="1" si="5"/>
        <v/>
      </c>
      <c r="J82" s="179"/>
      <c r="K82" s="180" t="str">
        <f t="shared" ca="1" si="7"/>
        <v/>
      </c>
      <c r="L82" s="168"/>
      <c r="M82" s="168"/>
      <c r="N82" s="181" t="str">
        <f t="shared" si="4"/>
        <v/>
      </c>
      <c r="O82" s="182"/>
      <c r="P82" s="183"/>
      <c r="Q82" s="71">
        <v>81</v>
      </c>
      <c r="R82" s="135"/>
      <c r="S82" s="223"/>
      <c r="T82" s="224"/>
      <c r="U82" s="225"/>
      <c r="V82" s="127"/>
      <c r="W82" s="125"/>
    </row>
    <row r="83" spans="1:23" ht="23.25" customHeight="1" x14ac:dyDescent="0.25">
      <c r="A83" s="66">
        <v>82</v>
      </c>
      <c r="B83" s="187"/>
      <c r="C83" s="174"/>
      <c r="D83" s="174"/>
      <c r="E83" s="174"/>
      <c r="F83" s="188"/>
      <c r="G83" s="176">
        <v>82</v>
      </c>
      <c r="H83" s="185"/>
      <c r="I83" s="178" t="str">
        <f t="shared" ca="1" si="5"/>
        <v/>
      </c>
      <c r="J83" s="179"/>
      <c r="K83" s="180" t="str">
        <f t="shared" ca="1" si="7"/>
        <v/>
      </c>
      <c r="L83" s="168"/>
      <c r="M83" s="168"/>
      <c r="N83" s="181" t="str">
        <f t="shared" si="4"/>
        <v/>
      </c>
      <c r="O83" s="182"/>
      <c r="P83" s="183"/>
      <c r="Q83" s="68">
        <v>82</v>
      </c>
      <c r="R83" s="135"/>
    </row>
    <row r="84" spans="1:23" ht="23.25" customHeight="1" x14ac:dyDescent="0.25">
      <c r="A84" s="69">
        <v>83</v>
      </c>
      <c r="B84" s="187"/>
      <c r="C84" s="174"/>
      <c r="D84" s="174"/>
      <c r="E84" s="187"/>
      <c r="F84" s="188"/>
      <c r="G84" s="184">
        <v>83</v>
      </c>
      <c r="H84" s="185"/>
      <c r="I84" s="178" t="str">
        <f t="shared" ca="1" si="5"/>
        <v/>
      </c>
      <c r="J84" s="179"/>
      <c r="K84" s="180" t="str">
        <f t="shared" ca="1" si="7"/>
        <v/>
      </c>
      <c r="L84" s="168"/>
      <c r="M84" s="168"/>
      <c r="N84" s="181" t="str">
        <f t="shared" si="4"/>
        <v/>
      </c>
      <c r="O84" s="182"/>
      <c r="P84" s="183"/>
      <c r="Q84" s="71">
        <v>83</v>
      </c>
      <c r="R84" s="135"/>
      <c r="S84" s="213" t="s">
        <v>355</v>
      </c>
      <c r="T84" s="214"/>
      <c r="U84" s="214"/>
      <c r="V84" s="214"/>
      <c r="W84" s="215"/>
    </row>
    <row r="85" spans="1:23" ht="23.25" customHeight="1" x14ac:dyDescent="0.25">
      <c r="A85" s="66">
        <v>84</v>
      </c>
      <c r="B85" s="187"/>
      <c r="C85" s="174"/>
      <c r="D85" s="174"/>
      <c r="E85" s="187"/>
      <c r="F85" s="188"/>
      <c r="G85" s="184">
        <v>84</v>
      </c>
      <c r="H85" s="185"/>
      <c r="I85" s="178" t="str">
        <f t="shared" ca="1" si="5"/>
        <v/>
      </c>
      <c r="J85" s="179"/>
      <c r="K85" s="180" t="str">
        <f t="shared" ca="1" si="7"/>
        <v/>
      </c>
      <c r="L85" s="168"/>
      <c r="M85" s="168"/>
      <c r="N85" s="181" t="str">
        <f t="shared" si="4"/>
        <v/>
      </c>
      <c r="O85" s="182"/>
      <c r="P85" s="183"/>
      <c r="Q85" s="68">
        <v>84</v>
      </c>
      <c r="R85" s="135"/>
      <c r="S85" s="115" t="s">
        <v>35</v>
      </c>
      <c r="T85" s="216"/>
      <c r="U85" s="217"/>
      <c r="V85" s="116"/>
      <c r="W85" s="166">
        <f>COUNTIF($F$2:$F$201,IF(T85="","zcazca","*")&amp;T85&amp;"*")</f>
        <v>0</v>
      </c>
    </row>
    <row r="86" spans="1:23" ht="23.25" customHeight="1" x14ac:dyDescent="0.25">
      <c r="A86" s="69">
        <v>85</v>
      </c>
      <c r="B86" s="187"/>
      <c r="C86" s="174"/>
      <c r="D86" s="174"/>
      <c r="E86" s="174"/>
      <c r="F86" s="188"/>
      <c r="G86" s="176">
        <v>85</v>
      </c>
      <c r="H86" s="185"/>
      <c r="I86" s="178" t="str">
        <f t="shared" ca="1" si="5"/>
        <v/>
      </c>
      <c r="J86" s="179"/>
      <c r="K86" s="180" t="str">
        <f t="shared" ca="1" si="7"/>
        <v/>
      </c>
      <c r="L86" s="168"/>
      <c r="M86" s="168"/>
      <c r="N86" s="181" t="str">
        <f t="shared" si="4"/>
        <v/>
      </c>
      <c r="O86" s="182"/>
      <c r="P86" s="183"/>
      <c r="Q86" s="71">
        <v>85</v>
      </c>
      <c r="R86" s="135"/>
      <c r="S86" s="218"/>
      <c r="T86" s="203"/>
      <c r="U86" s="204"/>
      <c r="V86" s="118"/>
      <c r="W86" s="119"/>
    </row>
    <row r="87" spans="1:23" ht="23.25" customHeight="1" x14ac:dyDescent="0.25">
      <c r="A87" s="66">
        <v>86</v>
      </c>
      <c r="B87" s="187"/>
      <c r="C87" s="174"/>
      <c r="D87" s="174"/>
      <c r="E87" s="187"/>
      <c r="F87" s="188"/>
      <c r="G87" s="184">
        <v>86</v>
      </c>
      <c r="H87" s="185"/>
      <c r="I87" s="178" t="str">
        <f t="shared" ca="1" si="5"/>
        <v/>
      </c>
      <c r="J87" s="179"/>
      <c r="K87" s="180" t="str">
        <f t="shared" ca="1" si="7"/>
        <v/>
      </c>
      <c r="L87" s="168"/>
      <c r="M87" s="168"/>
      <c r="N87" s="181" t="str">
        <f t="shared" si="4"/>
        <v/>
      </c>
      <c r="O87" s="182"/>
      <c r="P87" s="183"/>
      <c r="Q87" s="68">
        <v>86</v>
      </c>
      <c r="R87" s="135"/>
      <c r="S87" s="120" t="s">
        <v>36</v>
      </c>
      <c r="T87" s="211"/>
      <c r="U87" s="212"/>
      <c r="V87" s="121"/>
      <c r="W87" s="166">
        <f>COUNTIF($F$2:$F$201,IF(T87="","zcazca","*")&amp;T87&amp;"*")</f>
        <v>0</v>
      </c>
    </row>
    <row r="88" spans="1:23" ht="23.25" customHeight="1" x14ac:dyDescent="0.25">
      <c r="A88" s="69">
        <v>87</v>
      </c>
      <c r="B88" s="187"/>
      <c r="C88" s="174"/>
      <c r="D88" s="174"/>
      <c r="E88" s="187"/>
      <c r="F88" s="188"/>
      <c r="G88" s="184">
        <v>87</v>
      </c>
      <c r="H88" s="185"/>
      <c r="I88" s="178" t="str">
        <f t="shared" ca="1" si="5"/>
        <v/>
      </c>
      <c r="J88" s="179"/>
      <c r="K88" s="180" t="str">
        <f t="shared" ca="1" si="7"/>
        <v/>
      </c>
      <c r="L88" s="168"/>
      <c r="M88" s="168"/>
      <c r="N88" s="181" t="str">
        <f t="shared" si="4"/>
        <v/>
      </c>
      <c r="O88" s="182"/>
      <c r="P88" s="183"/>
      <c r="Q88" s="71">
        <v>87</v>
      </c>
      <c r="R88" s="135"/>
      <c r="S88" s="218"/>
      <c r="T88" s="203"/>
      <c r="U88" s="204"/>
      <c r="V88" s="118"/>
      <c r="W88" s="119"/>
    </row>
    <row r="89" spans="1:23" ht="23.25" customHeight="1" x14ac:dyDescent="0.25">
      <c r="A89" s="66">
        <v>88</v>
      </c>
      <c r="B89" s="187"/>
      <c r="C89" s="174"/>
      <c r="D89" s="174"/>
      <c r="E89" s="174"/>
      <c r="F89" s="188"/>
      <c r="G89" s="176">
        <v>88</v>
      </c>
      <c r="H89" s="185"/>
      <c r="I89" s="178" t="str">
        <f t="shared" ca="1" si="5"/>
        <v/>
      </c>
      <c r="J89" s="179"/>
      <c r="K89" s="180" t="str">
        <f t="shared" ca="1" si="7"/>
        <v/>
      </c>
      <c r="L89" s="168"/>
      <c r="M89" s="168"/>
      <c r="N89" s="181" t="str">
        <f t="shared" si="4"/>
        <v/>
      </c>
      <c r="O89" s="182"/>
      <c r="P89" s="183"/>
      <c r="Q89" s="68">
        <v>88</v>
      </c>
      <c r="R89" s="135"/>
      <c r="S89" s="120" t="s">
        <v>37</v>
      </c>
      <c r="T89" s="211"/>
      <c r="U89" s="212"/>
      <c r="V89" s="121"/>
      <c r="W89" s="166">
        <f>COUNTIF($F$2:$F$201,IF(T89="","zcazca","*")&amp;T89&amp;"*")</f>
        <v>0</v>
      </c>
    </row>
    <row r="90" spans="1:23" ht="23.25" customHeight="1" x14ac:dyDescent="0.25">
      <c r="A90" s="69">
        <v>89</v>
      </c>
      <c r="B90" s="187"/>
      <c r="C90" s="174"/>
      <c r="D90" s="174"/>
      <c r="E90" s="187"/>
      <c r="F90" s="188"/>
      <c r="G90" s="184">
        <v>89</v>
      </c>
      <c r="H90" s="185"/>
      <c r="I90" s="178" t="str">
        <f t="shared" ca="1" si="5"/>
        <v/>
      </c>
      <c r="J90" s="179"/>
      <c r="K90" s="180" t="str">
        <f t="shared" ca="1" si="7"/>
        <v/>
      </c>
      <c r="L90" s="168"/>
      <c r="M90" s="168"/>
      <c r="N90" s="181" t="str">
        <f t="shared" si="4"/>
        <v/>
      </c>
      <c r="O90" s="182"/>
      <c r="P90" s="183"/>
      <c r="Q90" s="71">
        <v>89</v>
      </c>
      <c r="R90" s="135"/>
      <c r="S90" s="218"/>
      <c r="T90" s="203"/>
      <c r="U90" s="204"/>
      <c r="V90" s="118"/>
      <c r="W90" s="119"/>
    </row>
    <row r="91" spans="1:23" ht="23.25" customHeight="1" x14ac:dyDescent="0.25">
      <c r="A91" s="66">
        <v>90</v>
      </c>
      <c r="B91" s="187"/>
      <c r="C91" s="174"/>
      <c r="D91" s="174"/>
      <c r="E91" s="187"/>
      <c r="F91" s="188"/>
      <c r="G91" s="184">
        <v>90</v>
      </c>
      <c r="H91" s="185"/>
      <c r="I91" s="178" t="str">
        <f t="shared" ca="1" si="5"/>
        <v/>
      </c>
      <c r="J91" s="179"/>
      <c r="K91" s="180" t="str">
        <f t="shared" ca="1" si="7"/>
        <v/>
      </c>
      <c r="L91" s="168"/>
      <c r="M91" s="168"/>
      <c r="N91" s="181" t="str">
        <f t="shared" si="4"/>
        <v/>
      </c>
      <c r="O91" s="182"/>
      <c r="P91" s="183"/>
      <c r="Q91" s="68">
        <v>90</v>
      </c>
      <c r="R91" s="135"/>
      <c r="S91" s="120" t="s">
        <v>38</v>
      </c>
      <c r="T91" s="211"/>
      <c r="U91" s="212"/>
      <c r="V91" s="121"/>
      <c r="W91" s="166">
        <f>COUNTIF($F$2:$F$201,IF(T91="","zcazca","*")&amp;T91&amp;"*")</f>
        <v>0</v>
      </c>
    </row>
    <row r="92" spans="1:23" ht="23.25" customHeight="1" x14ac:dyDescent="0.25">
      <c r="A92" s="69">
        <v>91</v>
      </c>
      <c r="B92" s="187"/>
      <c r="C92" s="174"/>
      <c r="D92" s="174"/>
      <c r="E92" s="174"/>
      <c r="F92" s="188"/>
      <c r="G92" s="176">
        <v>91</v>
      </c>
      <c r="H92" s="185"/>
      <c r="I92" s="178" t="str">
        <f t="shared" ca="1" si="5"/>
        <v/>
      </c>
      <c r="J92" s="179"/>
      <c r="K92" s="180" t="str">
        <f t="shared" ca="1" si="7"/>
        <v/>
      </c>
      <c r="L92" s="168"/>
      <c r="M92" s="168"/>
      <c r="N92" s="181" t="str">
        <f t="shared" si="4"/>
        <v/>
      </c>
      <c r="O92" s="182"/>
      <c r="P92" s="183"/>
      <c r="Q92" s="71">
        <v>91</v>
      </c>
      <c r="R92" s="135"/>
      <c r="S92" s="218"/>
      <c r="T92" s="203"/>
      <c r="U92" s="204"/>
      <c r="V92" s="118"/>
      <c r="W92" s="119"/>
    </row>
    <row r="93" spans="1:23" ht="23.25" customHeight="1" x14ac:dyDescent="0.25">
      <c r="A93" s="66">
        <v>92</v>
      </c>
      <c r="B93" s="187"/>
      <c r="C93" s="174"/>
      <c r="D93" s="174"/>
      <c r="E93" s="187"/>
      <c r="F93" s="188"/>
      <c r="G93" s="184">
        <v>92</v>
      </c>
      <c r="H93" s="185"/>
      <c r="I93" s="178" t="str">
        <f t="shared" ca="1" si="5"/>
        <v/>
      </c>
      <c r="J93" s="179"/>
      <c r="K93" s="180" t="str">
        <f t="shared" ca="1" si="7"/>
        <v/>
      </c>
      <c r="L93" s="168"/>
      <c r="M93" s="168"/>
      <c r="N93" s="181" t="str">
        <f t="shared" si="4"/>
        <v/>
      </c>
      <c r="O93" s="182"/>
      <c r="P93" s="183"/>
      <c r="Q93" s="68">
        <v>92</v>
      </c>
      <c r="R93" s="135"/>
      <c r="S93" s="123" t="s">
        <v>39</v>
      </c>
      <c r="T93" s="207"/>
      <c r="U93" s="208"/>
      <c r="V93" s="121"/>
      <c r="W93" s="166">
        <f>COUNTIF($F$2:$F$201,IF(T93="","zcazca","*")&amp;T93&amp;"*")</f>
        <v>0</v>
      </c>
    </row>
    <row r="94" spans="1:23" ht="23.25" customHeight="1" x14ac:dyDescent="0.25">
      <c r="A94" s="69">
        <v>93</v>
      </c>
      <c r="B94" s="187"/>
      <c r="C94" s="174"/>
      <c r="D94" s="174"/>
      <c r="E94" s="187"/>
      <c r="F94" s="188"/>
      <c r="G94" s="184">
        <v>93</v>
      </c>
      <c r="H94" s="185"/>
      <c r="I94" s="178" t="str">
        <f t="shared" ca="1" si="5"/>
        <v/>
      </c>
      <c r="J94" s="179"/>
      <c r="K94" s="180" t="str">
        <f t="shared" ca="1" si="7"/>
        <v/>
      </c>
      <c r="L94" s="168"/>
      <c r="M94" s="168"/>
      <c r="N94" s="181" t="str">
        <f t="shared" si="4"/>
        <v/>
      </c>
      <c r="O94" s="182"/>
      <c r="P94" s="183"/>
      <c r="Q94" s="71">
        <v>93</v>
      </c>
      <c r="R94" s="135"/>
      <c r="S94" s="202"/>
      <c r="T94" s="203"/>
      <c r="U94" s="204"/>
      <c r="V94" s="118"/>
      <c r="W94" s="124"/>
    </row>
    <row r="95" spans="1:23" ht="23.25" customHeight="1" x14ac:dyDescent="0.25">
      <c r="A95" s="66">
        <v>94</v>
      </c>
      <c r="B95" s="187"/>
      <c r="C95" s="174"/>
      <c r="D95" s="174"/>
      <c r="E95" s="174"/>
      <c r="F95" s="188"/>
      <c r="G95" s="176">
        <v>94</v>
      </c>
      <c r="H95" s="185"/>
      <c r="I95" s="178" t="str">
        <f t="shared" ca="1" si="5"/>
        <v/>
      </c>
      <c r="J95" s="179"/>
      <c r="K95" s="180" t="str">
        <f t="shared" ca="1" si="7"/>
        <v/>
      </c>
      <c r="L95" s="168"/>
      <c r="M95" s="168"/>
      <c r="N95" s="181" t="str">
        <f t="shared" si="4"/>
        <v/>
      </c>
      <c r="O95" s="182"/>
      <c r="P95" s="183"/>
      <c r="Q95" s="68">
        <v>94</v>
      </c>
      <c r="R95" s="135"/>
      <c r="S95" s="120" t="s">
        <v>182</v>
      </c>
      <c r="T95" s="209"/>
      <c r="U95" s="210"/>
      <c r="V95" s="121"/>
      <c r="W95" s="166">
        <f>COUNTIF($F$2:$F$201,IF(T95="","zcazca","*")&amp;T95&amp;"*")</f>
        <v>0</v>
      </c>
    </row>
    <row r="96" spans="1:23" ht="23.25" customHeight="1" x14ac:dyDescent="0.25">
      <c r="A96" s="69">
        <v>95</v>
      </c>
      <c r="B96" s="187"/>
      <c r="C96" s="174"/>
      <c r="D96" s="174"/>
      <c r="E96" s="187"/>
      <c r="F96" s="188"/>
      <c r="G96" s="184">
        <v>95</v>
      </c>
      <c r="H96" s="185"/>
      <c r="I96" s="178" t="str">
        <f t="shared" ca="1" si="5"/>
        <v/>
      </c>
      <c r="J96" s="179"/>
      <c r="K96" s="180" t="str">
        <f t="shared" ca="1" si="7"/>
        <v/>
      </c>
      <c r="L96" s="168"/>
      <c r="M96" s="168"/>
      <c r="N96" s="181" t="str">
        <f t="shared" si="4"/>
        <v/>
      </c>
      <c r="O96" s="182"/>
      <c r="P96" s="183"/>
      <c r="Q96" s="71">
        <v>95</v>
      </c>
      <c r="R96" s="135"/>
      <c r="S96" s="202"/>
      <c r="T96" s="203"/>
      <c r="U96" s="204"/>
      <c r="V96" s="118"/>
      <c r="W96" s="125"/>
    </row>
    <row r="97" spans="1:23" ht="23.25" customHeight="1" x14ac:dyDescent="0.25">
      <c r="A97" s="66">
        <v>96</v>
      </c>
      <c r="B97" s="187"/>
      <c r="C97" s="174"/>
      <c r="D97" s="174"/>
      <c r="E97" s="187"/>
      <c r="F97" s="188"/>
      <c r="G97" s="184">
        <v>96</v>
      </c>
      <c r="H97" s="185"/>
      <c r="I97" s="178" t="str">
        <f t="shared" ca="1" si="5"/>
        <v/>
      </c>
      <c r="J97" s="179"/>
      <c r="K97" s="180" t="str">
        <f t="shared" ca="1" si="7"/>
        <v/>
      </c>
      <c r="L97" s="168"/>
      <c r="M97" s="168"/>
      <c r="N97" s="181" t="str">
        <f t="shared" si="4"/>
        <v/>
      </c>
      <c r="O97" s="182"/>
      <c r="P97" s="183"/>
      <c r="Q97" s="68">
        <v>96</v>
      </c>
      <c r="R97" s="135"/>
      <c r="S97" s="120" t="s">
        <v>183</v>
      </c>
      <c r="T97" s="211"/>
      <c r="U97" s="212"/>
      <c r="V97" s="121"/>
      <c r="W97" s="166">
        <f>COUNTIF($F$2:$F$201,IF(T97="","zcazca","*")&amp;T97&amp;"*")</f>
        <v>0</v>
      </c>
    </row>
    <row r="98" spans="1:23" ht="23.25" customHeight="1" x14ac:dyDescent="0.25">
      <c r="A98" s="69">
        <v>97</v>
      </c>
      <c r="B98" s="187"/>
      <c r="C98" s="174"/>
      <c r="D98" s="174"/>
      <c r="E98" s="174"/>
      <c r="F98" s="188"/>
      <c r="G98" s="176">
        <v>97</v>
      </c>
      <c r="H98" s="185"/>
      <c r="I98" s="178" t="str">
        <f t="shared" ca="1" si="5"/>
        <v/>
      </c>
      <c r="J98" s="179"/>
      <c r="K98" s="180" t="str">
        <f t="shared" ca="1" si="7"/>
        <v/>
      </c>
      <c r="L98" s="168"/>
      <c r="M98" s="168"/>
      <c r="N98" s="181" t="str">
        <f t="shared" si="4"/>
        <v/>
      </c>
      <c r="O98" s="182"/>
      <c r="P98" s="183"/>
      <c r="Q98" s="71">
        <v>97</v>
      </c>
      <c r="R98" s="135"/>
      <c r="S98" s="202"/>
      <c r="T98" s="203"/>
      <c r="U98" s="204"/>
      <c r="V98" s="118"/>
      <c r="W98" s="119"/>
    </row>
    <row r="99" spans="1:23" ht="23.25" customHeight="1" x14ac:dyDescent="0.25">
      <c r="A99" s="66">
        <v>98</v>
      </c>
      <c r="B99" s="187"/>
      <c r="C99" s="174"/>
      <c r="D99" s="174"/>
      <c r="E99" s="187"/>
      <c r="F99" s="188"/>
      <c r="G99" s="184">
        <v>98</v>
      </c>
      <c r="H99" s="185"/>
      <c r="I99" s="178" t="str">
        <f t="shared" ca="1" si="5"/>
        <v/>
      </c>
      <c r="J99" s="179"/>
      <c r="K99" s="180" t="str">
        <f t="shared" ca="1" si="7"/>
        <v/>
      </c>
      <c r="L99" s="168"/>
      <c r="M99" s="168"/>
      <c r="N99" s="181" t="str">
        <f t="shared" si="4"/>
        <v/>
      </c>
      <c r="O99" s="182"/>
      <c r="P99" s="183"/>
      <c r="Q99" s="68">
        <v>98</v>
      </c>
      <c r="R99" s="135"/>
      <c r="S99" s="120" t="s">
        <v>184</v>
      </c>
      <c r="T99" s="211"/>
      <c r="U99" s="212"/>
      <c r="V99" s="121"/>
      <c r="W99" s="166">
        <f>COUNTIF($F$2:$F$201,IF(T99="","zcazca","*")&amp;T99&amp;"*")</f>
        <v>0</v>
      </c>
    </row>
    <row r="100" spans="1:23" ht="23.25" customHeight="1" x14ac:dyDescent="0.25">
      <c r="A100" s="69">
        <v>99</v>
      </c>
      <c r="B100" s="187"/>
      <c r="C100" s="174"/>
      <c r="D100" s="174"/>
      <c r="E100" s="187"/>
      <c r="F100" s="188"/>
      <c r="G100" s="184">
        <v>99</v>
      </c>
      <c r="H100" s="185"/>
      <c r="I100" s="178" t="str">
        <f t="shared" ca="1" si="5"/>
        <v/>
      </c>
      <c r="J100" s="179"/>
      <c r="K100" s="180" t="str">
        <f t="shared" ca="1" si="7"/>
        <v/>
      </c>
      <c r="L100" s="168"/>
      <c r="M100" s="168"/>
      <c r="N100" s="181" t="str">
        <f t="shared" si="4"/>
        <v/>
      </c>
      <c r="O100" s="182"/>
      <c r="P100" s="183"/>
      <c r="Q100" s="71">
        <v>99</v>
      </c>
      <c r="R100" s="135"/>
      <c r="S100" s="202"/>
      <c r="T100" s="203"/>
      <c r="U100" s="204"/>
      <c r="V100" s="118"/>
      <c r="W100" s="119"/>
    </row>
    <row r="101" spans="1:23" ht="23.25" customHeight="1" x14ac:dyDescent="0.25">
      <c r="A101" s="66">
        <v>100</v>
      </c>
      <c r="B101" s="187"/>
      <c r="C101" s="174"/>
      <c r="D101" s="174"/>
      <c r="E101" s="174"/>
      <c r="F101" s="188"/>
      <c r="G101" s="176">
        <v>100</v>
      </c>
      <c r="H101" s="185"/>
      <c r="I101" s="178" t="str">
        <f t="shared" ca="1" si="5"/>
        <v/>
      </c>
      <c r="J101" s="179"/>
      <c r="K101" s="180" t="str">
        <f t="shared" ca="1" si="7"/>
        <v/>
      </c>
      <c r="L101" s="168"/>
      <c r="M101" s="168"/>
      <c r="N101" s="181" t="str">
        <f t="shared" si="4"/>
        <v/>
      </c>
      <c r="O101" s="182"/>
      <c r="P101" s="183"/>
      <c r="Q101" s="68">
        <v>100</v>
      </c>
      <c r="R101" s="135"/>
      <c r="S101" s="120" t="s">
        <v>185</v>
      </c>
      <c r="T101" s="211"/>
      <c r="U101" s="212"/>
      <c r="V101" s="121"/>
      <c r="W101" s="166">
        <f>COUNTIF($F$2:$F$201,IF(T101="","zcazca","*")&amp;T101&amp;"*")</f>
        <v>0</v>
      </c>
    </row>
    <row r="102" spans="1:23" ht="23.25" customHeight="1" x14ac:dyDescent="0.25">
      <c r="A102" s="69">
        <v>101</v>
      </c>
      <c r="B102" s="187"/>
      <c r="C102" s="174"/>
      <c r="D102" s="174"/>
      <c r="E102" s="187"/>
      <c r="F102" s="188"/>
      <c r="G102" s="184">
        <v>101</v>
      </c>
      <c r="H102" s="185"/>
      <c r="I102" s="178" t="str">
        <f t="shared" ca="1" si="5"/>
        <v/>
      </c>
      <c r="J102" s="179"/>
      <c r="K102" s="180" t="str">
        <f t="shared" ca="1" si="7"/>
        <v/>
      </c>
      <c r="L102" s="168"/>
      <c r="M102" s="168"/>
      <c r="N102" s="181" t="str">
        <f t="shared" si="4"/>
        <v/>
      </c>
      <c r="O102" s="182"/>
      <c r="P102" s="183"/>
      <c r="Q102" s="71">
        <v>101</v>
      </c>
      <c r="R102" s="135"/>
      <c r="S102" s="202"/>
      <c r="T102" s="203"/>
      <c r="U102" s="204"/>
      <c r="V102" s="118"/>
      <c r="W102" s="119"/>
    </row>
    <row r="103" spans="1:23" ht="23.25" customHeight="1" x14ac:dyDescent="0.25">
      <c r="A103" s="66">
        <v>102</v>
      </c>
      <c r="B103" s="187"/>
      <c r="C103" s="174"/>
      <c r="D103" s="174"/>
      <c r="E103" s="187"/>
      <c r="F103" s="188"/>
      <c r="G103" s="184">
        <v>102</v>
      </c>
      <c r="H103" s="185"/>
      <c r="I103" s="178" t="str">
        <f t="shared" ca="1" si="5"/>
        <v/>
      </c>
      <c r="J103" s="179"/>
      <c r="K103" s="180" t="str">
        <f t="shared" ca="1" si="7"/>
        <v/>
      </c>
      <c r="L103" s="168"/>
      <c r="M103" s="168"/>
      <c r="N103" s="181" t="str">
        <f t="shared" si="4"/>
        <v/>
      </c>
      <c r="O103" s="182"/>
      <c r="P103" s="183"/>
      <c r="Q103" s="68">
        <v>102</v>
      </c>
      <c r="R103" s="135"/>
      <c r="S103" s="164" t="s">
        <v>186</v>
      </c>
      <c r="T103" s="205"/>
      <c r="U103" s="206"/>
      <c r="V103" s="165"/>
      <c r="W103" s="166">
        <f>COUNTIF($F$2:$F$201,IF(T103="","zcazca","*")&amp;T103&amp;"*")</f>
        <v>0</v>
      </c>
    </row>
    <row r="104" spans="1:23" ht="23.25" customHeight="1" x14ac:dyDescent="0.25">
      <c r="A104" s="69">
        <v>103</v>
      </c>
      <c r="B104" s="187"/>
      <c r="C104" s="174"/>
      <c r="D104" s="174"/>
      <c r="E104" s="174"/>
      <c r="F104" s="188"/>
      <c r="G104" s="176">
        <v>103</v>
      </c>
      <c r="H104" s="185"/>
      <c r="I104" s="178" t="str">
        <f t="shared" ca="1" si="5"/>
        <v/>
      </c>
      <c r="J104" s="179"/>
      <c r="K104" s="180" t="str">
        <f t="shared" ca="1" si="7"/>
        <v/>
      </c>
      <c r="L104" s="168"/>
      <c r="M104" s="168"/>
      <c r="N104" s="181" t="str">
        <f t="shared" si="4"/>
        <v/>
      </c>
      <c r="O104" s="182"/>
      <c r="P104" s="183"/>
      <c r="Q104" s="71">
        <v>103</v>
      </c>
      <c r="R104" s="135"/>
    </row>
    <row r="105" spans="1:23" ht="23.25" customHeight="1" x14ac:dyDescent="0.25">
      <c r="A105" s="66">
        <v>104</v>
      </c>
      <c r="B105" s="187"/>
      <c r="C105" s="174"/>
      <c r="D105" s="174"/>
      <c r="E105" s="187"/>
      <c r="F105" s="188"/>
      <c r="G105" s="184">
        <v>104</v>
      </c>
      <c r="H105" s="185"/>
      <c r="I105" s="178" t="str">
        <f t="shared" ca="1" si="5"/>
        <v/>
      </c>
      <c r="J105" s="179"/>
      <c r="K105" s="180" t="str">
        <f t="shared" ca="1" si="7"/>
        <v/>
      </c>
      <c r="L105" s="168"/>
      <c r="M105" s="168"/>
      <c r="N105" s="181" t="str">
        <f t="shared" si="4"/>
        <v/>
      </c>
      <c r="O105" s="182"/>
      <c r="P105" s="183"/>
      <c r="Q105" s="68">
        <v>104</v>
      </c>
      <c r="R105" s="135"/>
    </row>
    <row r="106" spans="1:23" ht="23.25" customHeight="1" x14ac:dyDescent="0.25">
      <c r="A106" s="69">
        <v>105</v>
      </c>
      <c r="B106" s="187"/>
      <c r="C106" s="174"/>
      <c r="D106" s="174"/>
      <c r="E106" s="187"/>
      <c r="F106" s="188"/>
      <c r="G106" s="184">
        <v>105</v>
      </c>
      <c r="H106" s="185"/>
      <c r="I106" s="178" t="str">
        <f t="shared" ca="1" si="5"/>
        <v/>
      </c>
      <c r="J106" s="179"/>
      <c r="K106" s="180" t="str">
        <f t="shared" ca="1" si="7"/>
        <v/>
      </c>
      <c r="L106" s="168"/>
      <c r="M106" s="168"/>
      <c r="N106" s="181" t="str">
        <f t="shared" si="4"/>
        <v/>
      </c>
      <c r="O106" s="182"/>
      <c r="P106" s="183"/>
      <c r="Q106" s="71">
        <v>105</v>
      </c>
      <c r="R106" s="135"/>
    </row>
    <row r="107" spans="1:23" ht="23.25" customHeight="1" x14ac:dyDescent="0.25">
      <c r="A107" s="66">
        <v>106</v>
      </c>
      <c r="B107" s="187"/>
      <c r="C107" s="174"/>
      <c r="D107" s="174"/>
      <c r="E107" s="174"/>
      <c r="F107" s="188"/>
      <c r="G107" s="176">
        <v>106</v>
      </c>
      <c r="H107" s="185"/>
      <c r="I107" s="178" t="str">
        <f t="shared" ca="1" si="5"/>
        <v/>
      </c>
      <c r="J107" s="179"/>
      <c r="K107" s="180" t="str">
        <f t="shared" ca="1" si="7"/>
        <v/>
      </c>
      <c r="L107" s="168"/>
      <c r="M107" s="168"/>
      <c r="N107" s="181" t="str">
        <f t="shared" si="4"/>
        <v/>
      </c>
      <c r="O107" s="182"/>
      <c r="P107" s="183"/>
      <c r="Q107" s="68">
        <v>106</v>
      </c>
      <c r="R107" s="135"/>
    </row>
    <row r="108" spans="1:23" ht="23.25" customHeight="1" x14ac:dyDescent="0.25">
      <c r="A108" s="69">
        <v>107</v>
      </c>
      <c r="B108" s="187"/>
      <c r="C108" s="174"/>
      <c r="D108" s="174"/>
      <c r="E108" s="187"/>
      <c r="F108" s="188"/>
      <c r="G108" s="184">
        <v>107</v>
      </c>
      <c r="H108" s="185"/>
      <c r="I108" s="178" t="str">
        <f t="shared" ca="1" si="5"/>
        <v/>
      </c>
      <c r="J108" s="179"/>
      <c r="K108" s="180" t="str">
        <f t="shared" ca="1" si="7"/>
        <v/>
      </c>
      <c r="L108" s="168"/>
      <c r="M108" s="168"/>
      <c r="N108" s="181" t="str">
        <f t="shared" si="4"/>
        <v/>
      </c>
      <c r="O108" s="182"/>
      <c r="P108" s="183"/>
      <c r="Q108" s="71">
        <v>107</v>
      </c>
      <c r="R108" s="135"/>
    </row>
    <row r="109" spans="1:23" ht="23.25" customHeight="1" x14ac:dyDescent="0.25">
      <c r="A109" s="66">
        <v>108</v>
      </c>
      <c r="B109" s="187"/>
      <c r="C109" s="174"/>
      <c r="D109" s="174"/>
      <c r="E109" s="187"/>
      <c r="F109" s="188"/>
      <c r="G109" s="184">
        <v>108</v>
      </c>
      <c r="H109" s="185"/>
      <c r="I109" s="178" t="str">
        <f t="shared" ca="1" si="5"/>
        <v/>
      </c>
      <c r="J109" s="179"/>
      <c r="K109" s="180" t="str">
        <f t="shared" ca="1" si="7"/>
        <v/>
      </c>
      <c r="L109" s="168"/>
      <c r="M109" s="168"/>
      <c r="N109" s="181" t="str">
        <f t="shared" si="4"/>
        <v/>
      </c>
      <c r="O109" s="182"/>
      <c r="P109" s="183"/>
      <c r="Q109" s="68">
        <v>108</v>
      </c>
      <c r="R109" s="135"/>
    </row>
    <row r="110" spans="1:23" ht="23.25" customHeight="1" x14ac:dyDescent="0.25">
      <c r="A110" s="69">
        <v>109</v>
      </c>
      <c r="B110" s="187"/>
      <c r="C110" s="174"/>
      <c r="D110" s="174"/>
      <c r="E110" s="174"/>
      <c r="F110" s="188"/>
      <c r="G110" s="176">
        <v>109</v>
      </c>
      <c r="H110" s="185"/>
      <c r="I110" s="178" t="str">
        <f t="shared" ca="1" si="5"/>
        <v/>
      </c>
      <c r="J110" s="179"/>
      <c r="K110" s="180" t="str">
        <f t="shared" ca="1" si="7"/>
        <v/>
      </c>
      <c r="L110" s="168"/>
      <c r="M110" s="168"/>
      <c r="N110" s="181" t="str">
        <f t="shared" si="4"/>
        <v/>
      </c>
      <c r="O110" s="182"/>
      <c r="P110" s="183"/>
      <c r="Q110" s="71">
        <v>109</v>
      </c>
      <c r="R110" s="135"/>
    </row>
    <row r="111" spans="1:23" ht="23.25" customHeight="1" x14ac:dyDescent="0.25">
      <c r="A111" s="66">
        <v>110</v>
      </c>
      <c r="B111" s="187"/>
      <c r="C111" s="174"/>
      <c r="D111" s="174"/>
      <c r="E111" s="187"/>
      <c r="F111" s="188"/>
      <c r="G111" s="184">
        <v>110</v>
      </c>
      <c r="H111" s="185"/>
      <c r="I111" s="178" t="str">
        <f t="shared" ca="1" si="5"/>
        <v/>
      </c>
      <c r="J111" s="179"/>
      <c r="K111" s="180" t="str">
        <f t="shared" ca="1" si="7"/>
        <v/>
      </c>
      <c r="L111" s="168"/>
      <c r="M111" s="168"/>
      <c r="N111" s="181" t="str">
        <f t="shared" si="4"/>
        <v/>
      </c>
      <c r="O111" s="182"/>
      <c r="P111" s="183"/>
      <c r="Q111" s="68">
        <v>110</v>
      </c>
      <c r="R111" s="135"/>
    </row>
    <row r="112" spans="1:23" ht="23.25" customHeight="1" x14ac:dyDescent="0.25">
      <c r="A112" s="69">
        <v>111</v>
      </c>
      <c r="B112" s="187"/>
      <c r="C112" s="174"/>
      <c r="D112" s="174"/>
      <c r="E112" s="187"/>
      <c r="F112" s="188"/>
      <c r="G112" s="184">
        <v>111</v>
      </c>
      <c r="H112" s="185"/>
      <c r="I112" s="178" t="str">
        <f t="shared" ca="1" si="5"/>
        <v/>
      </c>
      <c r="J112" s="179"/>
      <c r="K112" s="180" t="str">
        <f t="shared" ca="1" si="7"/>
        <v/>
      </c>
      <c r="L112" s="168"/>
      <c r="M112" s="168"/>
      <c r="N112" s="181" t="str">
        <f t="shared" si="4"/>
        <v/>
      </c>
      <c r="O112" s="182"/>
      <c r="P112" s="183"/>
      <c r="Q112" s="71">
        <v>111</v>
      </c>
      <c r="R112" s="135"/>
    </row>
    <row r="113" spans="1:18" ht="23.25" customHeight="1" x14ac:dyDescent="0.25">
      <c r="A113" s="66">
        <v>112</v>
      </c>
      <c r="B113" s="187"/>
      <c r="C113" s="174"/>
      <c r="D113" s="174"/>
      <c r="E113" s="174"/>
      <c r="F113" s="188"/>
      <c r="G113" s="176">
        <v>112</v>
      </c>
      <c r="H113" s="185"/>
      <c r="I113" s="178" t="str">
        <f t="shared" ca="1" si="5"/>
        <v/>
      </c>
      <c r="J113" s="179"/>
      <c r="K113" s="180" t="str">
        <f t="shared" ca="1" si="7"/>
        <v/>
      </c>
      <c r="L113" s="168"/>
      <c r="M113" s="168"/>
      <c r="N113" s="181" t="str">
        <f t="shared" si="4"/>
        <v/>
      </c>
      <c r="O113" s="182"/>
      <c r="P113" s="183"/>
      <c r="Q113" s="68">
        <v>112</v>
      </c>
      <c r="R113" s="135"/>
    </row>
    <row r="114" spans="1:18" ht="23.25" customHeight="1" x14ac:dyDescent="0.25">
      <c r="A114" s="69">
        <v>113</v>
      </c>
      <c r="B114" s="187"/>
      <c r="C114" s="174"/>
      <c r="D114" s="174"/>
      <c r="E114" s="187"/>
      <c r="F114" s="188"/>
      <c r="G114" s="184">
        <v>113</v>
      </c>
      <c r="H114" s="185"/>
      <c r="I114" s="178" t="str">
        <f t="shared" ca="1" si="5"/>
        <v/>
      </c>
      <c r="J114" s="179"/>
      <c r="K114" s="180" t="str">
        <f t="shared" ca="1" si="7"/>
        <v/>
      </c>
      <c r="L114" s="168"/>
      <c r="M114" s="168"/>
      <c r="N114" s="181" t="str">
        <f t="shared" si="4"/>
        <v/>
      </c>
      <c r="O114" s="182"/>
      <c r="P114" s="183"/>
      <c r="Q114" s="71">
        <v>113</v>
      </c>
      <c r="R114" s="135"/>
    </row>
    <row r="115" spans="1:18" ht="23.25" customHeight="1" x14ac:dyDescent="0.25">
      <c r="A115" s="66">
        <v>114</v>
      </c>
      <c r="B115" s="187"/>
      <c r="C115" s="174"/>
      <c r="D115" s="174"/>
      <c r="E115" s="187"/>
      <c r="F115" s="188"/>
      <c r="G115" s="184">
        <v>114</v>
      </c>
      <c r="H115" s="185"/>
      <c r="I115" s="178" t="str">
        <f t="shared" ca="1" si="5"/>
        <v/>
      </c>
      <c r="J115" s="179"/>
      <c r="K115" s="180" t="str">
        <f t="shared" ca="1" si="7"/>
        <v/>
      </c>
      <c r="L115" s="168"/>
      <c r="M115" s="168"/>
      <c r="N115" s="181" t="str">
        <f t="shared" si="4"/>
        <v/>
      </c>
      <c r="O115" s="182"/>
      <c r="P115" s="183"/>
      <c r="Q115" s="68">
        <v>114</v>
      </c>
      <c r="R115" s="135"/>
    </row>
    <row r="116" spans="1:18" ht="23.25" customHeight="1" x14ac:dyDescent="0.25">
      <c r="A116" s="69">
        <v>115</v>
      </c>
      <c r="B116" s="187"/>
      <c r="C116" s="174"/>
      <c r="D116" s="174"/>
      <c r="E116" s="174"/>
      <c r="F116" s="188"/>
      <c r="G116" s="176">
        <v>115</v>
      </c>
      <c r="H116" s="185"/>
      <c r="I116" s="178" t="str">
        <f t="shared" ca="1" si="5"/>
        <v/>
      </c>
      <c r="J116" s="179"/>
      <c r="K116" s="180" t="str">
        <f t="shared" ca="1" si="7"/>
        <v/>
      </c>
      <c r="L116" s="168"/>
      <c r="M116" s="168"/>
      <c r="N116" s="181" t="str">
        <f t="shared" si="4"/>
        <v/>
      </c>
      <c r="O116" s="182"/>
      <c r="P116" s="183"/>
      <c r="Q116" s="71">
        <v>115</v>
      </c>
      <c r="R116" s="135"/>
    </row>
    <row r="117" spans="1:18" ht="23.25" customHeight="1" x14ac:dyDescent="0.25">
      <c r="A117" s="66">
        <v>116</v>
      </c>
      <c r="B117" s="187"/>
      <c r="C117" s="174"/>
      <c r="D117" s="174"/>
      <c r="E117" s="187"/>
      <c r="F117" s="188"/>
      <c r="G117" s="184">
        <v>116</v>
      </c>
      <c r="H117" s="185"/>
      <c r="I117" s="178" t="str">
        <f t="shared" ca="1" si="5"/>
        <v/>
      </c>
      <c r="J117" s="179"/>
      <c r="K117" s="180" t="str">
        <f t="shared" ca="1" si="7"/>
        <v/>
      </c>
      <c r="L117" s="168"/>
      <c r="M117" s="168"/>
      <c r="N117" s="181" t="str">
        <f t="shared" si="4"/>
        <v/>
      </c>
      <c r="O117" s="182"/>
      <c r="P117" s="183"/>
      <c r="Q117" s="68">
        <v>116</v>
      </c>
      <c r="R117" s="135"/>
    </row>
    <row r="118" spans="1:18" ht="23.25" customHeight="1" x14ac:dyDescent="0.25">
      <c r="A118" s="69">
        <v>117</v>
      </c>
      <c r="B118" s="187"/>
      <c r="C118" s="174"/>
      <c r="D118" s="174"/>
      <c r="E118" s="187"/>
      <c r="F118" s="188"/>
      <c r="G118" s="184">
        <v>117</v>
      </c>
      <c r="H118" s="185"/>
      <c r="I118" s="178" t="str">
        <f t="shared" ca="1" si="5"/>
        <v/>
      </c>
      <c r="J118" s="179"/>
      <c r="K118" s="180" t="str">
        <f t="shared" ca="1" si="7"/>
        <v/>
      </c>
      <c r="L118" s="168"/>
      <c r="M118" s="168"/>
      <c r="N118" s="181" t="str">
        <f t="shared" si="4"/>
        <v/>
      </c>
      <c r="O118" s="182"/>
      <c r="P118" s="183"/>
      <c r="Q118" s="71">
        <v>117</v>
      </c>
      <c r="R118" s="135"/>
    </row>
    <row r="119" spans="1:18" ht="23.25" customHeight="1" x14ac:dyDescent="0.25">
      <c r="A119" s="66">
        <v>118</v>
      </c>
      <c r="B119" s="187"/>
      <c r="C119" s="174"/>
      <c r="D119" s="174"/>
      <c r="E119" s="174"/>
      <c r="F119" s="188"/>
      <c r="G119" s="184">
        <v>118</v>
      </c>
      <c r="H119" s="185"/>
      <c r="I119" s="178" t="str">
        <f t="shared" ca="1" si="5"/>
        <v/>
      </c>
      <c r="J119" s="179"/>
      <c r="K119" s="180" t="str">
        <f t="shared" ca="1" si="7"/>
        <v/>
      </c>
      <c r="L119" s="168"/>
      <c r="M119" s="168"/>
      <c r="N119" s="181" t="str">
        <f t="shared" si="4"/>
        <v/>
      </c>
      <c r="O119" s="182"/>
      <c r="P119" s="183"/>
      <c r="Q119" s="68">
        <v>118</v>
      </c>
      <c r="R119" s="135"/>
    </row>
    <row r="120" spans="1:18" ht="23.25" customHeight="1" x14ac:dyDescent="0.25">
      <c r="A120" s="69">
        <v>119</v>
      </c>
      <c r="B120" s="187"/>
      <c r="C120" s="174"/>
      <c r="D120" s="174"/>
      <c r="E120" s="187"/>
      <c r="F120" s="188"/>
      <c r="G120" s="184">
        <v>119</v>
      </c>
      <c r="H120" s="185"/>
      <c r="I120" s="178" t="str">
        <f t="shared" ca="1" si="5"/>
        <v/>
      </c>
      <c r="J120" s="179"/>
      <c r="K120" s="180" t="str">
        <f t="shared" ca="1" si="7"/>
        <v/>
      </c>
      <c r="L120" s="168"/>
      <c r="M120" s="168"/>
      <c r="N120" s="181" t="str">
        <f t="shared" si="4"/>
        <v/>
      </c>
      <c r="O120" s="182"/>
      <c r="P120" s="183"/>
      <c r="Q120" s="71">
        <v>119</v>
      </c>
      <c r="R120" s="135"/>
    </row>
    <row r="121" spans="1:18" ht="23.25" customHeight="1" x14ac:dyDescent="0.25">
      <c r="A121" s="66">
        <v>120</v>
      </c>
      <c r="B121" s="187"/>
      <c r="C121" s="174"/>
      <c r="D121" s="174"/>
      <c r="E121" s="187"/>
      <c r="F121" s="188"/>
      <c r="G121" s="184">
        <v>120</v>
      </c>
      <c r="H121" s="185"/>
      <c r="I121" s="178" t="str">
        <f t="shared" ca="1" si="5"/>
        <v/>
      </c>
      <c r="J121" s="179"/>
      <c r="K121" s="180" t="str">
        <f t="shared" ca="1" si="7"/>
        <v/>
      </c>
      <c r="L121" s="168"/>
      <c r="M121" s="168"/>
      <c r="N121" s="181" t="str">
        <f t="shared" si="4"/>
        <v/>
      </c>
      <c r="O121" s="182"/>
      <c r="P121" s="183"/>
      <c r="Q121" s="68">
        <v>120</v>
      </c>
      <c r="R121" s="135"/>
    </row>
    <row r="122" spans="1:18" ht="23.25" customHeight="1" x14ac:dyDescent="0.25">
      <c r="A122" s="69">
        <v>121</v>
      </c>
      <c r="B122" s="187"/>
      <c r="C122" s="174"/>
      <c r="D122" s="174"/>
      <c r="E122" s="174"/>
      <c r="F122" s="188"/>
      <c r="G122" s="184">
        <v>121</v>
      </c>
      <c r="H122" s="185"/>
      <c r="I122" s="178" t="str">
        <f t="shared" ca="1" si="5"/>
        <v/>
      </c>
      <c r="J122" s="179"/>
      <c r="K122" s="180" t="str">
        <f t="shared" ca="1" si="7"/>
        <v/>
      </c>
      <c r="L122" s="168"/>
      <c r="M122" s="168"/>
      <c r="N122" s="181" t="str">
        <f t="shared" si="4"/>
        <v/>
      </c>
      <c r="O122" s="182"/>
      <c r="P122" s="183"/>
      <c r="Q122" s="71">
        <v>121</v>
      </c>
      <c r="R122" s="135"/>
    </row>
    <row r="123" spans="1:18" ht="23.25" customHeight="1" x14ac:dyDescent="0.25">
      <c r="A123" s="66">
        <v>122</v>
      </c>
      <c r="B123" s="187"/>
      <c r="C123" s="174"/>
      <c r="D123" s="174"/>
      <c r="E123" s="187"/>
      <c r="F123" s="188"/>
      <c r="G123" s="184">
        <v>122</v>
      </c>
      <c r="H123" s="185"/>
      <c r="I123" s="178" t="str">
        <f t="shared" ca="1" si="5"/>
        <v/>
      </c>
      <c r="J123" s="179"/>
      <c r="K123" s="180" t="str">
        <f t="shared" ca="1" si="7"/>
        <v/>
      </c>
      <c r="L123" s="168"/>
      <c r="M123" s="168"/>
      <c r="N123" s="181" t="str">
        <f t="shared" si="4"/>
        <v/>
      </c>
      <c r="O123" s="182"/>
      <c r="P123" s="183"/>
      <c r="Q123" s="68">
        <v>122</v>
      </c>
      <c r="R123" s="135"/>
    </row>
    <row r="124" spans="1:18" ht="23.25" customHeight="1" x14ac:dyDescent="0.25">
      <c r="A124" s="69">
        <v>123</v>
      </c>
      <c r="B124" s="187"/>
      <c r="C124" s="174"/>
      <c r="D124" s="174"/>
      <c r="E124" s="187"/>
      <c r="F124" s="188"/>
      <c r="G124" s="184">
        <v>123</v>
      </c>
      <c r="H124" s="185"/>
      <c r="I124" s="178" t="str">
        <f t="shared" ca="1" si="5"/>
        <v/>
      </c>
      <c r="J124" s="179"/>
      <c r="K124" s="180" t="str">
        <f t="shared" ca="1" si="7"/>
        <v/>
      </c>
      <c r="L124" s="168"/>
      <c r="M124" s="168"/>
      <c r="N124" s="181" t="str">
        <f t="shared" si="4"/>
        <v/>
      </c>
      <c r="O124" s="182"/>
      <c r="P124" s="183"/>
      <c r="Q124" s="71">
        <v>123</v>
      </c>
      <c r="R124" s="135"/>
    </row>
    <row r="125" spans="1:18" ht="23.25" customHeight="1" x14ac:dyDescent="0.25">
      <c r="A125" s="66">
        <v>124</v>
      </c>
      <c r="B125" s="187"/>
      <c r="C125" s="174"/>
      <c r="D125" s="174"/>
      <c r="E125" s="174"/>
      <c r="F125" s="188"/>
      <c r="G125" s="184">
        <v>124</v>
      </c>
      <c r="H125" s="185"/>
      <c r="I125" s="178" t="str">
        <f t="shared" ca="1" si="5"/>
        <v/>
      </c>
      <c r="J125" s="179"/>
      <c r="K125" s="180" t="str">
        <f t="shared" ca="1" si="7"/>
        <v/>
      </c>
      <c r="L125" s="168"/>
      <c r="M125" s="168"/>
      <c r="N125" s="181" t="str">
        <f t="shared" si="4"/>
        <v/>
      </c>
      <c r="O125" s="182"/>
      <c r="P125" s="183"/>
      <c r="Q125" s="68">
        <v>124</v>
      </c>
      <c r="R125" s="135"/>
    </row>
    <row r="126" spans="1:18" ht="23.25" customHeight="1" x14ac:dyDescent="0.25">
      <c r="A126" s="69">
        <v>125</v>
      </c>
      <c r="B126" s="187"/>
      <c r="C126" s="174"/>
      <c r="D126" s="174"/>
      <c r="E126" s="187"/>
      <c r="F126" s="188"/>
      <c r="G126" s="184">
        <v>125</v>
      </c>
      <c r="H126" s="185"/>
      <c r="I126" s="178" t="str">
        <f t="shared" ca="1" si="5"/>
        <v/>
      </c>
      <c r="J126" s="179"/>
      <c r="K126" s="180" t="str">
        <f t="shared" ca="1" si="7"/>
        <v/>
      </c>
      <c r="L126" s="168"/>
      <c r="M126" s="168"/>
      <c r="N126" s="181" t="str">
        <f t="shared" si="4"/>
        <v/>
      </c>
      <c r="O126" s="182"/>
      <c r="P126" s="183"/>
      <c r="Q126" s="71">
        <v>125</v>
      </c>
      <c r="R126" s="135"/>
    </row>
    <row r="127" spans="1:18" ht="23.25" customHeight="1" x14ac:dyDescent="0.25">
      <c r="A127" s="66">
        <v>126</v>
      </c>
      <c r="B127" s="187"/>
      <c r="C127" s="174"/>
      <c r="D127" s="174"/>
      <c r="E127" s="187"/>
      <c r="F127" s="188"/>
      <c r="G127" s="184">
        <v>126</v>
      </c>
      <c r="H127" s="185"/>
      <c r="I127" s="178" t="str">
        <f t="shared" ca="1" si="5"/>
        <v/>
      </c>
      <c r="J127" s="179"/>
      <c r="K127" s="180" t="str">
        <f t="shared" ca="1" si="7"/>
        <v/>
      </c>
      <c r="L127" s="168"/>
      <c r="M127" s="168"/>
      <c r="N127" s="181" t="str">
        <f t="shared" si="4"/>
        <v/>
      </c>
      <c r="O127" s="182"/>
      <c r="P127" s="183"/>
      <c r="Q127" s="68">
        <v>126</v>
      </c>
      <c r="R127" s="135"/>
    </row>
    <row r="128" spans="1:18" ht="23.25" customHeight="1" x14ac:dyDescent="0.25">
      <c r="A128" s="69">
        <v>127</v>
      </c>
      <c r="B128" s="187"/>
      <c r="C128" s="174"/>
      <c r="D128" s="174"/>
      <c r="E128" s="174"/>
      <c r="F128" s="188"/>
      <c r="G128" s="184">
        <v>127</v>
      </c>
      <c r="H128" s="185"/>
      <c r="I128" s="178" t="str">
        <f t="shared" ca="1" si="5"/>
        <v/>
      </c>
      <c r="J128" s="179"/>
      <c r="K128" s="180" t="str">
        <f t="shared" ca="1" si="7"/>
        <v/>
      </c>
      <c r="L128" s="168"/>
      <c r="M128" s="168"/>
      <c r="N128" s="181" t="str">
        <f t="shared" si="4"/>
        <v/>
      </c>
      <c r="O128" s="182"/>
      <c r="P128" s="183"/>
      <c r="Q128" s="71">
        <v>127</v>
      </c>
      <c r="R128" s="135"/>
    </row>
    <row r="129" spans="1:18" ht="23.25" customHeight="1" x14ac:dyDescent="0.25">
      <c r="A129" s="66">
        <v>128</v>
      </c>
      <c r="B129" s="187"/>
      <c r="C129" s="174"/>
      <c r="D129" s="174"/>
      <c r="E129" s="187"/>
      <c r="F129" s="188"/>
      <c r="G129" s="184">
        <v>128</v>
      </c>
      <c r="H129" s="185"/>
      <c r="I129" s="178" t="str">
        <f t="shared" ca="1" si="5"/>
        <v/>
      </c>
      <c r="J129" s="179"/>
      <c r="K129" s="180" t="str">
        <f t="shared" ca="1" si="7"/>
        <v/>
      </c>
      <c r="L129" s="168"/>
      <c r="M129" s="168"/>
      <c r="N129" s="181" t="str">
        <f t="shared" si="4"/>
        <v/>
      </c>
      <c r="O129" s="182"/>
      <c r="P129" s="183"/>
      <c r="Q129" s="68">
        <v>128</v>
      </c>
      <c r="R129" s="135"/>
    </row>
    <row r="130" spans="1:18" ht="23.25" customHeight="1" x14ac:dyDescent="0.25">
      <c r="A130" s="69">
        <v>129</v>
      </c>
      <c r="B130" s="187"/>
      <c r="C130" s="174"/>
      <c r="D130" s="174"/>
      <c r="E130" s="187"/>
      <c r="F130" s="188"/>
      <c r="G130" s="184">
        <v>129</v>
      </c>
      <c r="H130" s="185"/>
      <c r="I130" s="178" t="str">
        <f t="shared" ca="1" si="5"/>
        <v/>
      </c>
      <c r="J130" s="179"/>
      <c r="K130" s="180" t="str">
        <f t="shared" ca="1" si="7"/>
        <v/>
      </c>
      <c r="L130" s="168"/>
      <c r="M130" s="168"/>
      <c r="N130" s="181" t="str">
        <f t="shared" ref="N130:N193" si="8">IF(OR(AND(B130=$T$39,F130=$S$40,B130&lt;&gt;"",F130&lt;&gt;""),AND(B130=$T$41,F130=$S$42,B130&lt;&gt;"",F130&lt;&gt;""),AND(B130=$T$43,F130=$S$44,B130&lt;&gt;"",F130&lt;&gt;""),AND(B130=$T$45,F130=$S$46,B130&lt;&gt;"",F130&lt;&gt;""),AND(B130=$T$47,F130=$S$48,B130&lt;&gt;"",F130&lt;&gt;""),AND(B130=$T$49,F130=$S$50,B130&lt;&gt;"",F130&lt;&gt;""),AND(B130=$T$51,F130=$S$52,B130&lt;&gt;"",F130&lt;&gt;""),AND(B130=$T$53,F130=$S$54,B130&lt;&gt;"",F130&lt;&gt;""),AND(B130=$T$55,F130=$S$56,B130&lt;&gt;"",F130&lt;&gt;""),AND(B130=$T$57,F130=$S$58,B130&lt;&gt;"",F130&lt;&gt;""),AND(B130=$T$59,F130=$S$60,B130&lt;&gt;"",F130&lt;&gt;""),AND(B130=$T$61,F130=$S$62,B130&lt;&gt;"",F130&lt;&gt;""),AND(B130=$T$63,F130=$S$64,B130&lt;&gt;"",F130&lt;&gt;""),AND(B130=$T$65,F130=$S$66,B130&lt;&gt;"",F130&lt;&gt;""),AND(B130=$T$67,F130=$S$68,B130&lt;&gt;"",F130&lt;&gt;""),AND(B130=$T$69,F130=$S$70,B130&lt;&gt;"",F130&lt;&gt;""),AND(B130=$T$71,F130=$S$72,B130&lt;&gt;"",F130&lt;&gt;""),AND(B130=$T$73,F130=$S$74,B130&lt;&gt;"",F130&lt;&gt;""),AND(B130=$T$75,F130=$S$76,B130&lt;&gt;"",F130&lt;&gt;""),AND(B130=$T$77,F130=$S$78,B130&lt;&gt;"",F130&lt;&gt;""),AND(B130=$T$79,F130=$S$80,B130&lt;&gt;"",F130&lt;&gt;""),AND(B130=$T$81,F130=$S$82,B130&lt;&gt;"",F130&lt;&gt;"")),"TRASFERIMENTO","")</f>
        <v/>
      </c>
      <c r="O130" s="182"/>
      <c r="P130" s="183"/>
      <c r="Q130" s="71">
        <v>129</v>
      </c>
      <c r="R130" s="135"/>
    </row>
    <row r="131" spans="1:18" ht="23.25" customHeight="1" x14ac:dyDescent="0.25">
      <c r="A131" s="66">
        <v>130</v>
      </c>
      <c r="B131" s="187"/>
      <c r="C131" s="174"/>
      <c r="D131" s="174"/>
      <c r="E131" s="174"/>
      <c r="F131" s="188"/>
      <c r="G131" s="184">
        <v>130</v>
      </c>
      <c r="H131" s="185"/>
      <c r="I131" s="178" t="str">
        <f t="shared" ca="1" si="5"/>
        <v/>
      </c>
      <c r="J131" s="179"/>
      <c r="K131" s="180" t="str">
        <f t="shared" ca="1" si="7"/>
        <v/>
      </c>
      <c r="L131" s="168"/>
      <c r="M131" s="168"/>
      <c r="N131" s="181" t="str">
        <f t="shared" si="8"/>
        <v/>
      </c>
      <c r="O131" s="182"/>
      <c r="P131" s="183"/>
      <c r="Q131" s="68">
        <v>130</v>
      </c>
      <c r="R131" s="135"/>
    </row>
    <row r="132" spans="1:18" ht="23.25" customHeight="1" x14ac:dyDescent="0.25">
      <c r="A132" s="69">
        <v>131</v>
      </c>
      <c r="B132" s="187"/>
      <c r="C132" s="174"/>
      <c r="D132" s="174"/>
      <c r="E132" s="187"/>
      <c r="F132" s="188"/>
      <c r="G132" s="184">
        <v>131</v>
      </c>
      <c r="H132" s="185"/>
      <c r="I132" s="178" t="str">
        <f t="shared" ref="I132:I195" ca="1" si="9">IF(H132&lt;&gt;"", IF(I132="", NOW(), I132), "")</f>
        <v/>
      </c>
      <c r="J132" s="179"/>
      <c r="K132" s="180" t="str">
        <f t="shared" ref="K132:K195" ca="1" si="10">IF(L132&lt;&gt;"", IF(K132="", NOW(), K132), "")</f>
        <v/>
      </c>
      <c r="L132" s="168"/>
      <c r="M132" s="168"/>
      <c r="N132" s="181" t="str">
        <f t="shared" si="8"/>
        <v/>
      </c>
      <c r="O132" s="182"/>
      <c r="P132" s="183"/>
      <c r="Q132" s="71">
        <v>131</v>
      </c>
      <c r="R132" s="135"/>
    </row>
    <row r="133" spans="1:18" ht="23.25" customHeight="1" x14ac:dyDescent="0.25">
      <c r="A133" s="66">
        <v>132</v>
      </c>
      <c r="B133" s="187"/>
      <c r="C133" s="174"/>
      <c r="D133" s="174"/>
      <c r="E133" s="187"/>
      <c r="F133" s="188"/>
      <c r="G133" s="184">
        <v>132</v>
      </c>
      <c r="H133" s="185"/>
      <c r="I133" s="178" t="str">
        <f t="shared" ca="1" si="9"/>
        <v/>
      </c>
      <c r="J133" s="179"/>
      <c r="K133" s="180" t="str">
        <f t="shared" ca="1" si="10"/>
        <v/>
      </c>
      <c r="L133" s="168"/>
      <c r="M133" s="168"/>
      <c r="N133" s="181" t="str">
        <f t="shared" si="8"/>
        <v/>
      </c>
      <c r="O133" s="182"/>
      <c r="P133" s="183"/>
      <c r="Q133" s="68">
        <v>132</v>
      </c>
      <c r="R133" s="135"/>
    </row>
    <row r="134" spans="1:18" ht="23.25" customHeight="1" x14ac:dyDescent="0.25">
      <c r="A134" s="69">
        <v>133</v>
      </c>
      <c r="B134" s="187"/>
      <c r="C134" s="174"/>
      <c r="D134" s="174"/>
      <c r="E134" s="174"/>
      <c r="F134" s="188"/>
      <c r="G134" s="184">
        <v>133</v>
      </c>
      <c r="H134" s="185"/>
      <c r="I134" s="178" t="str">
        <f t="shared" ca="1" si="9"/>
        <v/>
      </c>
      <c r="J134" s="179"/>
      <c r="K134" s="180" t="str">
        <f t="shared" ca="1" si="10"/>
        <v/>
      </c>
      <c r="L134" s="168"/>
      <c r="M134" s="168"/>
      <c r="N134" s="181" t="str">
        <f t="shared" si="8"/>
        <v/>
      </c>
      <c r="O134" s="182"/>
      <c r="P134" s="183"/>
      <c r="Q134" s="71">
        <v>133</v>
      </c>
      <c r="R134" s="135"/>
    </row>
    <row r="135" spans="1:18" ht="23.25" customHeight="1" x14ac:dyDescent="0.25">
      <c r="A135" s="66">
        <v>134</v>
      </c>
      <c r="B135" s="187"/>
      <c r="C135" s="174"/>
      <c r="D135" s="174"/>
      <c r="E135" s="187"/>
      <c r="F135" s="188"/>
      <c r="G135" s="184">
        <v>134</v>
      </c>
      <c r="H135" s="185"/>
      <c r="I135" s="178" t="str">
        <f t="shared" ca="1" si="9"/>
        <v/>
      </c>
      <c r="J135" s="179"/>
      <c r="K135" s="180" t="str">
        <f t="shared" ca="1" si="10"/>
        <v/>
      </c>
      <c r="L135" s="168"/>
      <c r="M135" s="168"/>
      <c r="N135" s="181" t="str">
        <f t="shared" si="8"/>
        <v/>
      </c>
      <c r="O135" s="182"/>
      <c r="P135" s="183"/>
      <c r="Q135" s="68">
        <v>134</v>
      </c>
      <c r="R135" s="135"/>
    </row>
    <row r="136" spans="1:18" ht="23.25" customHeight="1" x14ac:dyDescent="0.25">
      <c r="A136" s="69">
        <v>135</v>
      </c>
      <c r="B136" s="187"/>
      <c r="C136" s="174"/>
      <c r="D136" s="174"/>
      <c r="E136" s="187"/>
      <c r="F136" s="188"/>
      <c r="G136" s="184">
        <v>135</v>
      </c>
      <c r="H136" s="185"/>
      <c r="I136" s="178" t="str">
        <f t="shared" ca="1" si="9"/>
        <v/>
      </c>
      <c r="J136" s="179"/>
      <c r="K136" s="180" t="str">
        <f t="shared" ca="1" si="10"/>
        <v/>
      </c>
      <c r="L136" s="168"/>
      <c r="M136" s="168"/>
      <c r="N136" s="181" t="str">
        <f t="shared" si="8"/>
        <v/>
      </c>
      <c r="O136" s="182"/>
      <c r="P136" s="183"/>
      <c r="Q136" s="71">
        <v>135</v>
      </c>
      <c r="R136" s="135"/>
    </row>
    <row r="137" spans="1:18" ht="23.25" customHeight="1" x14ac:dyDescent="0.25">
      <c r="A137" s="66">
        <v>136</v>
      </c>
      <c r="B137" s="187"/>
      <c r="C137" s="174"/>
      <c r="D137" s="174"/>
      <c r="E137" s="174"/>
      <c r="F137" s="188"/>
      <c r="G137" s="184">
        <v>136</v>
      </c>
      <c r="H137" s="185"/>
      <c r="I137" s="178" t="str">
        <f t="shared" ca="1" si="9"/>
        <v/>
      </c>
      <c r="J137" s="179"/>
      <c r="K137" s="180" t="str">
        <f t="shared" ca="1" si="10"/>
        <v/>
      </c>
      <c r="L137" s="168"/>
      <c r="M137" s="168"/>
      <c r="N137" s="181" t="str">
        <f t="shared" si="8"/>
        <v/>
      </c>
      <c r="O137" s="182"/>
      <c r="P137" s="183"/>
      <c r="Q137" s="68">
        <v>136</v>
      </c>
      <c r="R137" s="135"/>
    </row>
    <row r="138" spans="1:18" ht="23.25" customHeight="1" x14ac:dyDescent="0.25">
      <c r="A138" s="69">
        <v>137</v>
      </c>
      <c r="B138" s="187"/>
      <c r="C138" s="174"/>
      <c r="D138" s="174"/>
      <c r="E138" s="187"/>
      <c r="F138" s="188"/>
      <c r="G138" s="184">
        <v>137</v>
      </c>
      <c r="H138" s="185"/>
      <c r="I138" s="178" t="str">
        <f t="shared" ca="1" si="9"/>
        <v/>
      </c>
      <c r="J138" s="179"/>
      <c r="K138" s="180" t="str">
        <f t="shared" ca="1" si="10"/>
        <v/>
      </c>
      <c r="L138" s="168"/>
      <c r="M138" s="168"/>
      <c r="N138" s="181" t="str">
        <f t="shared" si="8"/>
        <v/>
      </c>
      <c r="O138" s="182"/>
      <c r="P138" s="183"/>
      <c r="Q138" s="71">
        <v>137</v>
      </c>
      <c r="R138" s="135"/>
    </row>
    <row r="139" spans="1:18" ht="23.25" customHeight="1" x14ac:dyDescent="0.25">
      <c r="A139" s="66">
        <v>138</v>
      </c>
      <c r="B139" s="187"/>
      <c r="C139" s="174"/>
      <c r="D139" s="174"/>
      <c r="E139" s="187"/>
      <c r="F139" s="188"/>
      <c r="G139" s="184">
        <v>138</v>
      </c>
      <c r="H139" s="185"/>
      <c r="I139" s="178" t="str">
        <f t="shared" ca="1" si="9"/>
        <v/>
      </c>
      <c r="J139" s="179"/>
      <c r="K139" s="180" t="str">
        <f t="shared" ca="1" si="10"/>
        <v/>
      </c>
      <c r="L139" s="168"/>
      <c r="M139" s="168"/>
      <c r="N139" s="181" t="str">
        <f t="shared" si="8"/>
        <v/>
      </c>
      <c r="O139" s="182"/>
      <c r="P139" s="183"/>
      <c r="Q139" s="68">
        <v>138</v>
      </c>
      <c r="R139" s="135"/>
    </row>
    <row r="140" spans="1:18" ht="23.25" customHeight="1" x14ac:dyDescent="0.25">
      <c r="A140" s="69">
        <v>139</v>
      </c>
      <c r="B140" s="187"/>
      <c r="C140" s="174"/>
      <c r="D140" s="174"/>
      <c r="E140" s="174"/>
      <c r="F140" s="188"/>
      <c r="G140" s="184">
        <v>139</v>
      </c>
      <c r="H140" s="185"/>
      <c r="I140" s="178" t="str">
        <f t="shared" ca="1" si="9"/>
        <v/>
      </c>
      <c r="J140" s="179"/>
      <c r="K140" s="180" t="str">
        <f t="shared" ca="1" si="10"/>
        <v/>
      </c>
      <c r="L140" s="168"/>
      <c r="M140" s="168"/>
      <c r="N140" s="181" t="str">
        <f t="shared" si="8"/>
        <v/>
      </c>
      <c r="O140" s="182"/>
      <c r="P140" s="183"/>
      <c r="Q140" s="71">
        <v>139</v>
      </c>
      <c r="R140" s="135"/>
    </row>
    <row r="141" spans="1:18" ht="23.25" customHeight="1" x14ac:dyDescent="0.25">
      <c r="A141" s="66">
        <v>140</v>
      </c>
      <c r="B141" s="187"/>
      <c r="C141" s="174"/>
      <c r="D141" s="174"/>
      <c r="E141" s="187"/>
      <c r="F141" s="188"/>
      <c r="G141" s="184">
        <v>140</v>
      </c>
      <c r="H141" s="185"/>
      <c r="I141" s="178" t="str">
        <f t="shared" ca="1" si="9"/>
        <v/>
      </c>
      <c r="J141" s="179"/>
      <c r="K141" s="180" t="str">
        <f t="shared" ca="1" si="10"/>
        <v/>
      </c>
      <c r="L141" s="168"/>
      <c r="M141" s="168"/>
      <c r="N141" s="181" t="str">
        <f t="shared" si="8"/>
        <v/>
      </c>
      <c r="O141" s="182"/>
      <c r="P141" s="183"/>
      <c r="Q141" s="68">
        <v>140</v>
      </c>
      <c r="R141" s="135"/>
    </row>
    <row r="142" spans="1:18" ht="23.25" customHeight="1" x14ac:dyDescent="0.25">
      <c r="A142" s="128">
        <v>141</v>
      </c>
      <c r="B142" s="174"/>
      <c r="C142" s="174"/>
      <c r="D142" s="174"/>
      <c r="E142" s="187"/>
      <c r="F142" s="189"/>
      <c r="G142" s="176">
        <v>141</v>
      </c>
      <c r="H142" s="185"/>
      <c r="I142" s="178" t="str">
        <f t="shared" ca="1" si="9"/>
        <v/>
      </c>
      <c r="J142" s="190"/>
      <c r="K142" s="180" t="str">
        <f t="shared" ca="1" si="10"/>
        <v/>
      </c>
      <c r="L142" s="169"/>
      <c r="M142" s="169"/>
      <c r="N142" s="181" t="str">
        <f t="shared" si="8"/>
        <v/>
      </c>
      <c r="O142" s="182"/>
      <c r="P142" s="191"/>
      <c r="Q142" s="129">
        <v>141</v>
      </c>
      <c r="R142" s="135"/>
    </row>
    <row r="143" spans="1:18" ht="23.25" customHeight="1" x14ac:dyDescent="0.25">
      <c r="A143" s="66">
        <v>142</v>
      </c>
      <c r="B143" s="187"/>
      <c r="C143" s="174"/>
      <c r="D143" s="174"/>
      <c r="E143" s="174"/>
      <c r="F143" s="188"/>
      <c r="G143" s="184">
        <v>142</v>
      </c>
      <c r="H143" s="185"/>
      <c r="I143" s="178" t="str">
        <f t="shared" ca="1" si="9"/>
        <v/>
      </c>
      <c r="J143" s="179"/>
      <c r="K143" s="180" t="str">
        <f t="shared" ca="1" si="10"/>
        <v/>
      </c>
      <c r="L143" s="168"/>
      <c r="M143" s="168"/>
      <c r="N143" s="181" t="str">
        <f t="shared" si="8"/>
        <v/>
      </c>
      <c r="O143" s="182"/>
      <c r="P143" s="183"/>
      <c r="Q143" s="68">
        <v>142</v>
      </c>
      <c r="R143" s="135"/>
    </row>
    <row r="144" spans="1:18" ht="23.25" customHeight="1" x14ac:dyDescent="0.25">
      <c r="A144" s="69">
        <v>143</v>
      </c>
      <c r="B144" s="187"/>
      <c r="C144" s="174"/>
      <c r="D144" s="174"/>
      <c r="E144" s="187"/>
      <c r="F144" s="188"/>
      <c r="G144" s="184">
        <v>143</v>
      </c>
      <c r="H144" s="185"/>
      <c r="I144" s="178" t="str">
        <f t="shared" ca="1" si="9"/>
        <v/>
      </c>
      <c r="J144" s="179"/>
      <c r="K144" s="180" t="str">
        <f t="shared" ca="1" si="10"/>
        <v/>
      </c>
      <c r="L144" s="168"/>
      <c r="M144" s="168"/>
      <c r="N144" s="181" t="str">
        <f t="shared" si="8"/>
        <v/>
      </c>
      <c r="O144" s="182"/>
      <c r="P144" s="183"/>
      <c r="Q144" s="71">
        <v>143</v>
      </c>
      <c r="R144" s="135"/>
    </row>
    <row r="145" spans="1:18" ht="23.25" customHeight="1" x14ac:dyDescent="0.25">
      <c r="A145" s="66">
        <v>144</v>
      </c>
      <c r="B145" s="187"/>
      <c r="C145" s="174"/>
      <c r="D145" s="174"/>
      <c r="E145" s="187"/>
      <c r="F145" s="188"/>
      <c r="G145" s="184">
        <v>144</v>
      </c>
      <c r="H145" s="185"/>
      <c r="I145" s="178" t="str">
        <f t="shared" ca="1" si="9"/>
        <v/>
      </c>
      <c r="J145" s="179"/>
      <c r="K145" s="180" t="str">
        <f t="shared" ca="1" si="10"/>
        <v/>
      </c>
      <c r="L145" s="168"/>
      <c r="M145" s="168"/>
      <c r="N145" s="181" t="str">
        <f t="shared" si="8"/>
        <v/>
      </c>
      <c r="O145" s="182"/>
      <c r="P145" s="183"/>
      <c r="Q145" s="68">
        <v>144</v>
      </c>
      <c r="R145" s="135"/>
    </row>
    <row r="146" spans="1:18" ht="23.25" customHeight="1" x14ac:dyDescent="0.25">
      <c r="A146" s="69">
        <v>145</v>
      </c>
      <c r="B146" s="187"/>
      <c r="C146" s="174"/>
      <c r="D146" s="174"/>
      <c r="E146" s="174"/>
      <c r="F146" s="188"/>
      <c r="G146" s="184">
        <v>145</v>
      </c>
      <c r="H146" s="185"/>
      <c r="I146" s="178" t="str">
        <f t="shared" ca="1" si="9"/>
        <v/>
      </c>
      <c r="J146" s="179"/>
      <c r="K146" s="180" t="str">
        <f t="shared" ca="1" si="10"/>
        <v/>
      </c>
      <c r="L146" s="168"/>
      <c r="M146" s="168"/>
      <c r="N146" s="181" t="str">
        <f t="shared" si="8"/>
        <v/>
      </c>
      <c r="O146" s="182"/>
      <c r="P146" s="183"/>
      <c r="Q146" s="71">
        <v>145</v>
      </c>
      <c r="R146" s="135"/>
    </row>
    <row r="147" spans="1:18" ht="23.25" customHeight="1" x14ac:dyDescent="0.25">
      <c r="A147" s="66">
        <v>146</v>
      </c>
      <c r="B147" s="187"/>
      <c r="C147" s="174"/>
      <c r="D147" s="174"/>
      <c r="E147" s="187"/>
      <c r="F147" s="188"/>
      <c r="G147" s="184">
        <v>146</v>
      </c>
      <c r="H147" s="185"/>
      <c r="I147" s="178" t="str">
        <f t="shared" ca="1" si="9"/>
        <v/>
      </c>
      <c r="J147" s="179"/>
      <c r="K147" s="180" t="str">
        <f t="shared" ca="1" si="10"/>
        <v/>
      </c>
      <c r="L147" s="168"/>
      <c r="M147" s="168"/>
      <c r="N147" s="181" t="str">
        <f t="shared" si="8"/>
        <v/>
      </c>
      <c r="O147" s="182"/>
      <c r="P147" s="183"/>
      <c r="Q147" s="68">
        <v>146</v>
      </c>
      <c r="R147" s="135"/>
    </row>
    <row r="148" spans="1:18" ht="23.25" customHeight="1" x14ac:dyDescent="0.25">
      <c r="A148" s="69">
        <v>147</v>
      </c>
      <c r="B148" s="187"/>
      <c r="C148" s="174"/>
      <c r="D148" s="174"/>
      <c r="E148" s="187"/>
      <c r="F148" s="188"/>
      <c r="G148" s="184">
        <v>147</v>
      </c>
      <c r="H148" s="185"/>
      <c r="I148" s="178" t="str">
        <f t="shared" ca="1" si="9"/>
        <v/>
      </c>
      <c r="J148" s="179"/>
      <c r="K148" s="180" t="str">
        <f t="shared" ca="1" si="10"/>
        <v/>
      </c>
      <c r="L148" s="168"/>
      <c r="M148" s="168"/>
      <c r="N148" s="181" t="str">
        <f t="shared" si="8"/>
        <v/>
      </c>
      <c r="O148" s="182"/>
      <c r="P148" s="183"/>
      <c r="Q148" s="71">
        <v>147</v>
      </c>
      <c r="R148" s="135"/>
    </row>
    <row r="149" spans="1:18" ht="23.25" customHeight="1" x14ac:dyDescent="0.25">
      <c r="A149" s="66">
        <v>148</v>
      </c>
      <c r="B149" s="187"/>
      <c r="C149" s="174"/>
      <c r="D149" s="174"/>
      <c r="E149" s="174"/>
      <c r="F149" s="188"/>
      <c r="G149" s="184">
        <v>148</v>
      </c>
      <c r="H149" s="185"/>
      <c r="I149" s="178" t="str">
        <f t="shared" ca="1" si="9"/>
        <v/>
      </c>
      <c r="J149" s="179"/>
      <c r="K149" s="180" t="str">
        <f t="shared" ca="1" si="10"/>
        <v/>
      </c>
      <c r="L149" s="168"/>
      <c r="M149" s="168"/>
      <c r="N149" s="181" t="str">
        <f t="shared" si="8"/>
        <v/>
      </c>
      <c r="O149" s="182"/>
      <c r="P149" s="183"/>
      <c r="Q149" s="68">
        <v>148</v>
      </c>
      <c r="R149" s="135"/>
    </row>
    <row r="150" spans="1:18" ht="23.25" customHeight="1" x14ac:dyDescent="0.25">
      <c r="A150" s="69">
        <v>149</v>
      </c>
      <c r="B150" s="187"/>
      <c r="C150" s="174"/>
      <c r="D150" s="174"/>
      <c r="E150" s="187"/>
      <c r="F150" s="188"/>
      <c r="G150" s="184">
        <v>149</v>
      </c>
      <c r="H150" s="185"/>
      <c r="I150" s="178" t="str">
        <f t="shared" ca="1" si="9"/>
        <v/>
      </c>
      <c r="J150" s="179"/>
      <c r="K150" s="180" t="str">
        <f t="shared" ca="1" si="10"/>
        <v/>
      </c>
      <c r="L150" s="168"/>
      <c r="M150" s="168"/>
      <c r="N150" s="181" t="str">
        <f t="shared" si="8"/>
        <v/>
      </c>
      <c r="O150" s="182"/>
      <c r="P150" s="183"/>
      <c r="Q150" s="71">
        <v>149</v>
      </c>
      <c r="R150" s="135"/>
    </row>
    <row r="151" spans="1:18" ht="23.25" customHeight="1" x14ac:dyDescent="0.25">
      <c r="A151" s="66">
        <v>150</v>
      </c>
      <c r="B151" s="187"/>
      <c r="C151" s="174"/>
      <c r="D151" s="174"/>
      <c r="E151" s="187"/>
      <c r="F151" s="188"/>
      <c r="G151" s="184">
        <v>150</v>
      </c>
      <c r="H151" s="185"/>
      <c r="I151" s="178" t="str">
        <f t="shared" ca="1" si="9"/>
        <v/>
      </c>
      <c r="J151" s="179"/>
      <c r="K151" s="180" t="str">
        <f t="shared" ca="1" si="10"/>
        <v/>
      </c>
      <c r="L151" s="168"/>
      <c r="M151" s="168"/>
      <c r="N151" s="181" t="str">
        <f t="shared" si="8"/>
        <v/>
      </c>
      <c r="O151" s="182"/>
      <c r="P151" s="183"/>
      <c r="Q151" s="68">
        <v>150</v>
      </c>
      <c r="R151" s="135"/>
    </row>
    <row r="152" spans="1:18" ht="23.25" customHeight="1" x14ac:dyDescent="0.25">
      <c r="A152" s="69">
        <v>151</v>
      </c>
      <c r="B152" s="187"/>
      <c r="C152" s="174"/>
      <c r="D152" s="174"/>
      <c r="E152" s="174"/>
      <c r="F152" s="188"/>
      <c r="G152" s="184">
        <v>151</v>
      </c>
      <c r="H152" s="185"/>
      <c r="I152" s="178" t="str">
        <f t="shared" ca="1" si="9"/>
        <v/>
      </c>
      <c r="J152" s="179"/>
      <c r="K152" s="180" t="str">
        <f t="shared" ca="1" si="10"/>
        <v/>
      </c>
      <c r="L152" s="168"/>
      <c r="M152" s="168"/>
      <c r="N152" s="181" t="str">
        <f t="shared" si="8"/>
        <v/>
      </c>
      <c r="O152" s="182"/>
      <c r="P152" s="183"/>
      <c r="Q152" s="71">
        <v>151</v>
      </c>
      <c r="R152" s="135"/>
    </row>
    <row r="153" spans="1:18" ht="23.25" customHeight="1" x14ac:dyDescent="0.25">
      <c r="A153" s="130">
        <v>152</v>
      </c>
      <c r="B153" s="174"/>
      <c r="C153" s="174"/>
      <c r="D153" s="174"/>
      <c r="E153" s="187"/>
      <c r="F153" s="189"/>
      <c r="G153" s="176">
        <v>152</v>
      </c>
      <c r="H153" s="185"/>
      <c r="I153" s="178" t="str">
        <f t="shared" ca="1" si="9"/>
        <v/>
      </c>
      <c r="J153" s="190"/>
      <c r="K153" s="180" t="str">
        <f t="shared" ca="1" si="10"/>
        <v/>
      </c>
      <c r="L153" s="169"/>
      <c r="M153" s="169"/>
      <c r="N153" s="181" t="str">
        <f t="shared" si="8"/>
        <v/>
      </c>
      <c r="O153" s="182"/>
      <c r="P153" s="191"/>
      <c r="Q153" s="131">
        <v>152</v>
      </c>
      <c r="R153" s="135"/>
    </row>
    <row r="154" spans="1:18" ht="23.25" customHeight="1" x14ac:dyDescent="0.25">
      <c r="A154" s="69">
        <v>153</v>
      </c>
      <c r="B154" s="187"/>
      <c r="C154" s="174"/>
      <c r="D154" s="174"/>
      <c r="E154" s="187"/>
      <c r="F154" s="188"/>
      <c r="G154" s="184">
        <v>153</v>
      </c>
      <c r="H154" s="185"/>
      <c r="I154" s="178" t="str">
        <f t="shared" ca="1" si="9"/>
        <v/>
      </c>
      <c r="J154" s="179"/>
      <c r="K154" s="180" t="str">
        <f t="shared" ca="1" si="10"/>
        <v/>
      </c>
      <c r="L154" s="168"/>
      <c r="M154" s="168"/>
      <c r="N154" s="181" t="str">
        <f t="shared" si="8"/>
        <v/>
      </c>
      <c r="O154" s="182"/>
      <c r="P154" s="183"/>
      <c r="Q154" s="71">
        <v>153</v>
      </c>
      <c r="R154" s="135"/>
    </row>
    <row r="155" spans="1:18" ht="23.25" customHeight="1" x14ac:dyDescent="0.25">
      <c r="A155" s="66">
        <v>154</v>
      </c>
      <c r="B155" s="187"/>
      <c r="C155" s="174"/>
      <c r="D155" s="174"/>
      <c r="E155" s="174"/>
      <c r="F155" s="188"/>
      <c r="G155" s="184">
        <v>154</v>
      </c>
      <c r="H155" s="185"/>
      <c r="I155" s="178" t="str">
        <f t="shared" ca="1" si="9"/>
        <v/>
      </c>
      <c r="J155" s="179"/>
      <c r="K155" s="180" t="str">
        <f t="shared" ca="1" si="10"/>
        <v/>
      </c>
      <c r="L155" s="168"/>
      <c r="M155" s="168"/>
      <c r="N155" s="181" t="str">
        <f t="shared" si="8"/>
        <v/>
      </c>
      <c r="O155" s="182"/>
      <c r="P155" s="183"/>
      <c r="Q155" s="68">
        <v>154</v>
      </c>
      <c r="R155" s="135"/>
    </row>
    <row r="156" spans="1:18" ht="23.25" customHeight="1" x14ac:dyDescent="0.25">
      <c r="A156" s="69">
        <v>155</v>
      </c>
      <c r="B156" s="187"/>
      <c r="C156" s="174"/>
      <c r="D156" s="174"/>
      <c r="E156" s="187"/>
      <c r="F156" s="188"/>
      <c r="G156" s="184">
        <v>155</v>
      </c>
      <c r="H156" s="185"/>
      <c r="I156" s="178" t="str">
        <f t="shared" ca="1" si="9"/>
        <v/>
      </c>
      <c r="J156" s="179"/>
      <c r="K156" s="180" t="str">
        <f t="shared" ca="1" si="10"/>
        <v/>
      </c>
      <c r="L156" s="168"/>
      <c r="M156" s="168"/>
      <c r="N156" s="181" t="str">
        <f t="shared" si="8"/>
        <v/>
      </c>
      <c r="O156" s="182"/>
      <c r="P156" s="183"/>
      <c r="Q156" s="71">
        <v>155</v>
      </c>
      <c r="R156" s="135"/>
    </row>
    <row r="157" spans="1:18" ht="23.25" customHeight="1" x14ac:dyDescent="0.25">
      <c r="A157" s="66">
        <v>156</v>
      </c>
      <c r="B157" s="187"/>
      <c r="C157" s="174"/>
      <c r="D157" s="174"/>
      <c r="E157" s="187"/>
      <c r="F157" s="188"/>
      <c r="G157" s="184">
        <v>156</v>
      </c>
      <c r="H157" s="185"/>
      <c r="I157" s="178" t="str">
        <f t="shared" ca="1" si="9"/>
        <v/>
      </c>
      <c r="J157" s="179"/>
      <c r="K157" s="180" t="str">
        <f t="shared" ca="1" si="10"/>
        <v/>
      </c>
      <c r="L157" s="168"/>
      <c r="M157" s="168"/>
      <c r="N157" s="181" t="str">
        <f t="shared" si="8"/>
        <v/>
      </c>
      <c r="O157" s="182"/>
      <c r="P157" s="183"/>
      <c r="Q157" s="68">
        <v>156</v>
      </c>
      <c r="R157" s="135"/>
    </row>
    <row r="158" spans="1:18" ht="23.25" customHeight="1" x14ac:dyDescent="0.25">
      <c r="A158" s="69">
        <v>157</v>
      </c>
      <c r="B158" s="187"/>
      <c r="C158" s="174"/>
      <c r="D158" s="174"/>
      <c r="E158" s="174"/>
      <c r="F158" s="188"/>
      <c r="G158" s="184">
        <v>157</v>
      </c>
      <c r="H158" s="185"/>
      <c r="I158" s="178" t="str">
        <f t="shared" ca="1" si="9"/>
        <v/>
      </c>
      <c r="J158" s="179"/>
      <c r="K158" s="180" t="str">
        <f t="shared" ca="1" si="10"/>
        <v/>
      </c>
      <c r="L158" s="168"/>
      <c r="M158" s="168"/>
      <c r="N158" s="181" t="str">
        <f t="shared" si="8"/>
        <v/>
      </c>
      <c r="O158" s="182"/>
      <c r="P158" s="183"/>
      <c r="Q158" s="71">
        <v>157</v>
      </c>
      <c r="R158" s="135"/>
    </row>
    <row r="159" spans="1:18" ht="23.25" customHeight="1" x14ac:dyDescent="0.25">
      <c r="A159" s="66">
        <v>158</v>
      </c>
      <c r="B159" s="187"/>
      <c r="C159" s="174"/>
      <c r="D159" s="174"/>
      <c r="E159" s="187"/>
      <c r="F159" s="188"/>
      <c r="G159" s="184">
        <v>158</v>
      </c>
      <c r="H159" s="185"/>
      <c r="I159" s="178" t="str">
        <f t="shared" ca="1" si="9"/>
        <v/>
      </c>
      <c r="J159" s="179"/>
      <c r="K159" s="180" t="str">
        <f t="shared" ca="1" si="10"/>
        <v/>
      </c>
      <c r="L159" s="168"/>
      <c r="M159" s="168"/>
      <c r="N159" s="181" t="str">
        <f t="shared" si="8"/>
        <v/>
      </c>
      <c r="O159" s="182"/>
      <c r="P159" s="183"/>
      <c r="Q159" s="68">
        <v>158</v>
      </c>
      <c r="R159" s="135"/>
    </row>
    <row r="160" spans="1:18" ht="23.25" customHeight="1" x14ac:dyDescent="0.25">
      <c r="A160" s="70">
        <v>159</v>
      </c>
      <c r="B160" s="172"/>
      <c r="C160" s="172"/>
      <c r="D160" s="187"/>
      <c r="E160" s="172"/>
      <c r="F160" s="172"/>
      <c r="G160" s="184">
        <v>159</v>
      </c>
      <c r="H160" s="185"/>
      <c r="I160" s="178" t="str">
        <f t="shared" ca="1" si="9"/>
        <v/>
      </c>
      <c r="J160" s="192"/>
      <c r="K160" s="180" t="str">
        <f t="shared" ca="1" si="10"/>
        <v/>
      </c>
      <c r="L160" s="170"/>
      <c r="M160" s="170"/>
      <c r="N160" s="181" t="str">
        <f t="shared" si="8"/>
        <v/>
      </c>
      <c r="O160" s="193"/>
      <c r="P160" s="194"/>
      <c r="Q160" s="70">
        <v>159</v>
      </c>
      <c r="R160" s="135"/>
    </row>
    <row r="161" spans="1:18" ht="25.5" customHeight="1" x14ac:dyDescent="0.25">
      <c r="A161" s="67">
        <v>160</v>
      </c>
      <c r="B161" s="172"/>
      <c r="C161" s="172"/>
      <c r="D161" s="187"/>
      <c r="E161" s="172"/>
      <c r="F161" s="172"/>
      <c r="G161" s="184">
        <v>160</v>
      </c>
      <c r="H161" s="185"/>
      <c r="I161" s="178" t="str">
        <f t="shared" ca="1" si="9"/>
        <v/>
      </c>
      <c r="J161" s="192"/>
      <c r="K161" s="180" t="str">
        <f t="shared" ca="1" si="10"/>
        <v/>
      </c>
      <c r="L161" s="170"/>
      <c r="M161" s="170"/>
      <c r="N161" s="181" t="str">
        <f t="shared" si="8"/>
        <v/>
      </c>
      <c r="O161" s="193"/>
      <c r="P161" s="194"/>
      <c r="Q161" s="67">
        <v>160</v>
      </c>
      <c r="R161" s="135"/>
    </row>
    <row r="162" spans="1:18" ht="25.5" customHeight="1" x14ac:dyDescent="0.25">
      <c r="A162" s="70">
        <v>161</v>
      </c>
      <c r="B162" s="172"/>
      <c r="C162" s="173"/>
      <c r="D162" s="187"/>
      <c r="E162" s="172"/>
      <c r="F162" s="172"/>
      <c r="G162" s="184">
        <v>161</v>
      </c>
      <c r="H162" s="185"/>
      <c r="I162" s="178" t="str">
        <f t="shared" ca="1" si="9"/>
        <v/>
      </c>
      <c r="J162" s="192"/>
      <c r="K162" s="180" t="str">
        <f t="shared" ca="1" si="10"/>
        <v/>
      </c>
      <c r="L162" s="170"/>
      <c r="M162" s="170"/>
      <c r="N162" s="181" t="str">
        <f t="shared" si="8"/>
        <v/>
      </c>
      <c r="O162" s="193"/>
      <c r="P162" s="194"/>
      <c r="Q162" s="70">
        <v>161</v>
      </c>
    </row>
    <row r="163" spans="1:18" ht="25.5" customHeight="1" x14ac:dyDescent="0.25">
      <c r="A163" s="67">
        <v>162</v>
      </c>
      <c r="B163" s="187"/>
      <c r="C163" s="173"/>
      <c r="D163" s="187"/>
      <c r="E163" s="187"/>
      <c r="F163" s="187"/>
      <c r="G163" s="184">
        <v>162</v>
      </c>
      <c r="H163" s="185"/>
      <c r="I163" s="178" t="str">
        <f t="shared" ca="1" si="9"/>
        <v/>
      </c>
      <c r="J163" s="192"/>
      <c r="K163" s="180" t="str">
        <f t="shared" ca="1" si="10"/>
        <v/>
      </c>
      <c r="L163" s="170"/>
      <c r="M163" s="170"/>
      <c r="N163" s="181" t="str">
        <f t="shared" si="8"/>
        <v/>
      </c>
      <c r="O163" s="193"/>
      <c r="P163" s="194"/>
      <c r="Q163" s="67">
        <v>162</v>
      </c>
    </row>
    <row r="164" spans="1:18" ht="25.5" customHeight="1" x14ac:dyDescent="0.25">
      <c r="A164" s="70">
        <v>163</v>
      </c>
      <c r="B164" s="172"/>
      <c r="C164" s="173"/>
      <c r="D164" s="187"/>
      <c r="E164" s="172"/>
      <c r="F164" s="172"/>
      <c r="G164" s="184">
        <v>163</v>
      </c>
      <c r="H164" s="185"/>
      <c r="I164" s="178" t="str">
        <f t="shared" ca="1" si="9"/>
        <v/>
      </c>
      <c r="J164" s="192"/>
      <c r="K164" s="180" t="str">
        <f t="shared" ca="1" si="10"/>
        <v/>
      </c>
      <c r="L164" s="170"/>
      <c r="M164" s="170"/>
      <c r="N164" s="181" t="str">
        <f t="shared" si="8"/>
        <v/>
      </c>
      <c r="O164" s="193"/>
      <c r="P164" s="194"/>
      <c r="Q164" s="70">
        <v>163</v>
      </c>
    </row>
    <row r="165" spans="1:18" ht="25.5" customHeight="1" x14ac:dyDescent="0.25">
      <c r="A165" s="67">
        <v>164</v>
      </c>
      <c r="B165" s="172"/>
      <c r="C165" s="173"/>
      <c r="D165" s="187"/>
      <c r="E165" s="172"/>
      <c r="F165" s="172"/>
      <c r="G165" s="184">
        <v>164</v>
      </c>
      <c r="H165" s="185"/>
      <c r="I165" s="178" t="str">
        <f t="shared" ca="1" si="9"/>
        <v/>
      </c>
      <c r="J165" s="192"/>
      <c r="K165" s="180" t="str">
        <f t="shared" ca="1" si="10"/>
        <v/>
      </c>
      <c r="L165" s="170"/>
      <c r="M165" s="170"/>
      <c r="N165" s="181" t="str">
        <f t="shared" si="8"/>
        <v/>
      </c>
      <c r="O165" s="193"/>
      <c r="P165" s="194"/>
      <c r="Q165" s="67">
        <v>164</v>
      </c>
    </row>
    <row r="166" spans="1:18" ht="25.5" customHeight="1" x14ac:dyDescent="0.25">
      <c r="A166" s="70">
        <v>165</v>
      </c>
      <c r="B166" s="172"/>
      <c r="C166" s="173"/>
      <c r="D166" s="187"/>
      <c r="E166" s="172"/>
      <c r="F166" s="172"/>
      <c r="G166" s="184">
        <v>165</v>
      </c>
      <c r="H166" s="185"/>
      <c r="I166" s="178" t="str">
        <f t="shared" ca="1" si="9"/>
        <v/>
      </c>
      <c r="J166" s="192"/>
      <c r="K166" s="180" t="str">
        <f t="shared" ca="1" si="10"/>
        <v/>
      </c>
      <c r="L166" s="170"/>
      <c r="M166" s="170"/>
      <c r="N166" s="181" t="str">
        <f t="shared" si="8"/>
        <v/>
      </c>
      <c r="O166" s="193"/>
      <c r="P166" s="194"/>
      <c r="Q166" s="70">
        <v>165</v>
      </c>
    </row>
    <row r="167" spans="1:18" ht="25.5" customHeight="1" x14ac:dyDescent="0.25">
      <c r="A167" s="67">
        <v>166</v>
      </c>
      <c r="B167" s="172"/>
      <c r="C167" s="173"/>
      <c r="D167" s="187"/>
      <c r="E167" s="172"/>
      <c r="F167" s="172"/>
      <c r="G167" s="184">
        <v>166</v>
      </c>
      <c r="H167" s="185"/>
      <c r="I167" s="178" t="str">
        <f t="shared" ca="1" si="9"/>
        <v/>
      </c>
      <c r="J167" s="192"/>
      <c r="K167" s="180" t="str">
        <f t="shared" ca="1" si="10"/>
        <v/>
      </c>
      <c r="L167" s="170"/>
      <c r="M167" s="170"/>
      <c r="N167" s="181" t="str">
        <f t="shared" si="8"/>
        <v/>
      </c>
      <c r="O167" s="193"/>
      <c r="P167" s="194"/>
      <c r="Q167" s="67">
        <v>166</v>
      </c>
    </row>
    <row r="168" spans="1:18" ht="25.5" customHeight="1" x14ac:dyDescent="0.25">
      <c r="A168" s="70">
        <v>167</v>
      </c>
      <c r="B168" s="172"/>
      <c r="C168" s="173"/>
      <c r="D168" s="187"/>
      <c r="E168" s="172"/>
      <c r="F168" s="172"/>
      <c r="G168" s="184">
        <v>167</v>
      </c>
      <c r="H168" s="185"/>
      <c r="I168" s="178" t="str">
        <f t="shared" ca="1" si="9"/>
        <v/>
      </c>
      <c r="J168" s="192"/>
      <c r="K168" s="180" t="str">
        <f t="shared" ca="1" si="10"/>
        <v/>
      </c>
      <c r="L168" s="170"/>
      <c r="M168" s="170"/>
      <c r="N168" s="181" t="str">
        <f t="shared" si="8"/>
        <v/>
      </c>
      <c r="O168" s="193"/>
      <c r="P168" s="194"/>
      <c r="Q168" s="70">
        <v>167</v>
      </c>
    </row>
    <row r="169" spans="1:18" ht="25.5" customHeight="1" x14ac:dyDescent="0.25">
      <c r="A169" s="67">
        <v>168</v>
      </c>
      <c r="B169" s="187"/>
      <c r="C169" s="173"/>
      <c r="D169" s="187"/>
      <c r="E169" s="187"/>
      <c r="F169" s="187"/>
      <c r="G169" s="184">
        <v>168</v>
      </c>
      <c r="H169" s="185"/>
      <c r="I169" s="178" t="str">
        <f t="shared" ca="1" si="9"/>
        <v/>
      </c>
      <c r="J169" s="192"/>
      <c r="K169" s="180" t="str">
        <f t="shared" ca="1" si="10"/>
        <v/>
      </c>
      <c r="L169" s="170"/>
      <c r="M169" s="170"/>
      <c r="N169" s="181" t="str">
        <f t="shared" si="8"/>
        <v/>
      </c>
      <c r="O169" s="193"/>
      <c r="P169" s="194"/>
      <c r="Q169" s="67">
        <v>168</v>
      </c>
    </row>
    <row r="170" spans="1:18" ht="25.5" customHeight="1" x14ac:dyDescent="0.25">
      <c r="A170" s="70">
        <v>169</v>
      </c>
      <c r="B170" s="187"/>
      <c r="C170" s="173"/>
      <c r="D170" s="187"/>
      <c r="E170" s="187"/>
      <c r="F170" s="187"/>
      <c r="G170" s="184">
        <v>169</v>
      </c>
      <c r="H170" s="185"/>
      <c r="I170" s="178" t="str">
        <f t="shared" ca="1" si="9"/>
        <v/>
      </c>
      <c r="J170" s="192"/>
      <c r="K170" s="180" t="str">
        <f t="shared" ca="1" si="10"/>
        <v/>
      </c>
      <c r="L170" s="170"/>
      <c r="M170" s="170"/>
      <c r="N170" s="181" t="str">
        <f t="shared" si="8"/>
        <v/>
      </c>
      <c r="O170" s="193"/>
      <c r="P170" s="194"/>
      <c r="Q170" s="70">
        <v>169</v>
      </c>
    </row>
    <row r="171" spans="1:18" ht="25.5" customHeight="1" x14ac:dyDescent="0.25">
      <c r="A171" s="67">
        <v>170</v>
      </c>
      <c r="B171" s="187"/>
      <c r="C171" s="173"/>
      <c r="D171" s="187"/>
      <c r="E171" s="187"/>
      <c r="F171" s="187"/>
      <c r="G171" s="184">
        <v>170</v>
      </c>
      <c r="H171" s="185"/>
      <c r="I171" s="178" t="str">
        <f t="shared" ca="1" si="9"/>
        <v/>
      </c>
      <c r="J171" s="192"/>
      <c r="K171" s="180" t="str">
        <f t="shared" ca="1" si="10"/>
        <v/>
      </c>
      <c r="L171" s="170"/>
      <c r="M171" s="170"/>
      <c r="N171" s="181" t="str">
        <f t="shared" si="8"/>
        <v/>
      </c>
      <c r="O171" s="193"/>
      <c r="P171" s="194"/>
      <c r="Q171" s="67">
        <v>170</v>
      </c>
    </row>
    <row r="172" spans="1:18" ht="25.5" customHeight="1" x14ac:dyDescent="0.25">
      <c r="A172" s="70">
        <v>171</v>
      </c>
      <c r="B172" s="172"/>
      <c r="C172" s="173"/>
      <c r="D172" s="187"/>
      <c r="E172" s="172"/>
      <c r="F172" s="172"/>
      <c r="G172" s="184">
        <v>171</v>
      </c>
      <c r="H172" s="185"/>
      <c r="I172" s="178" t="str">
        <f t="shared" ca="1" si="9"/>
        <v/>
      </c>
      <c r="J172" s="192"/>
      <c r="K172" s="180" t="str">
        <f t="shared" ca="1" si="10"/>
        <v/>
      </c>
      <c r="L172" s="170"/>
      <c r="M172" s="170"/>
      <c r="N172" s="181" t="str">
        <f t="shared" si="8"/>
        <v/>
      </c>
      <c r="O172" s="193"/>
      <c r="P172" s="194"/>
      <c r="Q172" s="70">
        <v>171</v>
      </c>
    </row>
    <row r="173" spans="1:18" ht="25.5" customHeight="1" x14ac:dyDescent="0.25">
      <c r="A173" s="67">
        <v>172</v>
      </c>
      <c r="B173" s="187"/>
      <c r="C173" s="173"/>
      <c r="D173" s="187"/>
      <c r="E173" s="187"/>
      <c r="F173" s="187"/>
      <c r="G173" s="184">
        <v>172</v>
      </c>
      <c r="H173" s="185"/>
      <c r="I173" s="178" t="str">
        <f t="shared" ca="1" si="9"/>
        <v/>
      </c>
      <c r="J173" s="192"/>
      <c r="K173" s="180" t="str">
        <f t="shared" ca="1" si="10"/>
        <v/>
      </c>
      <c r="L173" s="170"/>
      <c r="M173" s="170"/>
      <c r="N173" s="181" t="str">
        <f t="shared" si="8"/>
        <v/>
      </c>
      <c r="O173" s="193"/>
      <c r="P173" s="194"/>
      <c r="Q173" s="67">
        <v>172</v>
      </c>
    </row>
    <row r="174" spans="1:18" ht="25.5" customHeight="1" x14ac:dyDescent="0.25">
      <c r="A174" s="70">
        <v>173</v>
      </c>
      <c r="B174" s="187"/>
      <c r="C174" s="173"/>
      <c r="D174" s="187"/>
      <c r="E174" s="187"/>
      <c r="F174" s="187"/>
      <c r="G174" s="184">
        <v>173</v>
      </c>
      <c r="H174" s="185"/>
      <c r="I174" s="178" t="str">
        <f t="shared" ca="1" si="9"/>
        <v/>
      </c>
      <c r="J174" s="192"/>
      <c r="K174" s="180" t="str">
        <f t="shared" ca="1" si="10"/>
        <v/>
      </c>
      <c r="L174" s="170"/>
      <c r="M174" s="170"/>
      <c r="N174" s="181" t="str">
        <f t="shared" si="8"/>
        <v/>
      </c>
      <c r="O174" s="193"/>
      <c r="P174" s="194"/>
      <c r="Q174" s="70">
        <v>173</v>
      </c>
    </row>
    <row r="175" spans="1:18" ht="25.5" customHeight="1" x14ac:dyDescent="0.25">
      <c r="A175" s="67">
        <v>174</v>
      </c>
      <c r="B175" s="187"/>
      <c r="C175" s="173"/>
      <c r="D175" s="187"/>
      <c r="E175" s="187"/>
      <c r="F175" s="187"/>
      <c r="G175" s="184">
        <v>174</v>
      </c>
      <c r="H175" s="185"/>
      <c r="I175" s="178" t="str">
        <f t="shared" ca="1" si="9"/>
        <v/>
      </c>
      <c r="J175" s="192"/>
      <c r="K175" s="180" t="str">
        <f t="shared" ca="1" si="10"/>
        <v/>
      </c>
      <c r="L175" s="170"/>
      <c r="M175" s="170"/>
      <c r="N175" s="181" t="str">
        <f t="shared" si="8"/>
        <v/>
      </c>
      <c r="O175" s="193"/>
      <c r="P175" s="194"/>
      <c r="Q175" s="67">
        <v>174</v>
      </c>
    </row>
    <row r="176" spans="1:18" ht="25.5" customHeight="1" x14ac:dyDescent="0.25">
      <c r="A176" s="70">
        <v>175</v>
      </c>
      <c r="B176" s="172"/>
      <c r="C176" s="173"/>
      <c r="D176" s="187"/>
      <c r="E176" s="172"/>
      <c r="F176" s="172"/>
      <c r="G176" s="184">
        <v>175</v>
      </c>
      <c r="H176" s="185"/>
      <c r="I176" s="178" t="str">
        <f t="shared" ca="1" si="9"/>
        <v/>
      </c>
      <c r="J176" s="192"/>
      <c r="K176" s="180" t="str">
        <f t="shared" ca="1" si="10"/>
        <v/>
      </c>
      <c r="L176" s="170"/>
      <c r="M176" s="170"/>
      <c r="N176" s="181" t="str">
        <f t="shared" si="8"/>
        <v/>
      </c>
      <c r="O176" s="193"/>
      <c r="P176" s="194"/>
      <c r="Q176" s="70">
        <v>175</v>
      </c>
    </row>
    <row r="177" spans="1:17" ht="25.5" customHeight="1" x14ac:dyDescent="0.25">
      <c r="A177" s="67">
        <v>176</v>
      </c>
      <c r="B177" s="187"/>
      <c r="C177" s="173"/>
      <c r="D177" s="187"/>
      <c r="E177" s="187"/>
      <c r="F177" s="187"/>
      <c r="G177" s="184">
        <v>176</v>
      </c>
      <c r="H177" s="185"/>
      <c r="I177" s="178" t="str">
        <f t="shared" ca="1" si="9"/>
        <v/>
      </c>
      <c r="J177" s="192"/>
      <c r="K177" s="180" t="str">
        <f t="shared" ca="1" si="10"/>
        <v/>
      </c>
      <c r="L177" s="170"/>
      <c r="M177" s="170"/>
      <c r="N177" s="181" t="str">
        <f t="shared" si="8"/>
        <v/>
      </c>
      <c r="O177" s="193"/>
      <c r="P177" s="194"/>
      <c r="Q177" s="67">
        <v>176</v>
      </c>
    </row>
    <row r="178" spans="1:17" ht="25.5" customHeight="1" x14ac:dyDescent="0.25">
      <c r="A178" s="70">
        <v>177</v>
      </c>
      <c r="B178" s="187"/>
      <c r="C178" s="173"/>
      <c r="D178" s="187"/>
      <c r="E178" s="187"/>
      <c r="F178" s="187"/>
      <c r="G178" s="184">
        <v>177</v>
      </c>
      <c r="H178" s="185"/>
      <c r="I178" s="178" t="str">
        <f t="shared" ca="1" si="9"/>
        <v/>
      </c>
      <c r="J178" s="192"/>
      <c r="K178" s="180" t="str">
        <f t="shared" ca="1" si="10"/>
        <v/>
      </c>
      <c r="L178" s="170"/>
      <c r="M178" s="170"/>
      <c r="N178" s="181" t="str">
        <f t="shared" si="8"/>
        <v/>
      </c>
      <c r="O178" s="193"/>
      <c r="P178" s="194"/>
      <c r="Q178" s="70">
        <v>177</v>
      </c>
    </row>
    <row r="179" spans="1:17" ht="25.5" customHeight="1" x14ac:dyDescent="0.25">
      <c r="A179" s="67">
        <v>178</v>
      </c>
      <c r="B179" s="187"/>
      <c r="C179" s="173"/>
      <c r="D179" s="187"/>
      <c r="E179" s="187"/>
      <c r="F179" s="187"/>
      <c r="G179" s="184">
        <v>178</v>
      </c>
      <c r="H179" s="185"/>
      <c r="I179" s="178" t="str">
        <f t="shared" ca="1" si="9"/>
        <v/>
      </c>
      <c r="J179" s="192"/>
      <c r="K179" s="180" t="str">
        <f t="shared" ca="1" si="10"/>
        <v/>
      </c>
      <c r="L179" s="170"/>
      <c r="M179" s="170"/>
      <c r="N179" s="181" t="str">
        <f t="shared" si="8"/>
        <v/>
      </c>
      <c r="O179" s="193"/>
      <c r="P179" s="194"/>
      <c r="Q179" s="67">
        <v>178</v>
      </c>
    </row>
    <row r="180" spans="1:17" ht="25.5" customHeight="1" x14ac:dyDescent="0.25">
      <c r="A180" s="70">
        <v>179</v>
      </c>
      <c r="B180" s="172"/>
      <c r="C180" s="173"/>
      <c r="D180" s="187"/>
      <c r="E180" s="172"/>
      <c r="F180" s="172"/>
      <c r="G180" s="184">
        <v>179</v>
      </c>
      <c r="H180" s="185"/>
      <c r="I180" s="178" t="str">
        <f t="shared" ca="1" si="9"/>
        <v/>
      </c>
      <c r="J180" s="192"/>
      <c r="K180" s="180" t="str">
        <f t="shared" ca="1" si="10"/>
        <v/>
      </c>
      <c r="L180" s="170"/>
      <c r="M180" s="170"/>
      <c r="N180" s="181" t="str">
        <f t="shared" si="8"/>
        <v/>
      </c>
      <c r="O180" s="193"/>
      <c r="P180" s="194"/>
      <c r="Q180" s="70">
        <v>179</v>
      </c>
    </row>
    <row r="181" spans="1:17" ht="25.5" customHeight="1" x14ac:dyDescent="0.25">
      <c r="A181" s="67">
        <v>180</v>
      </c>
      <c r="B181" s="172"/>
      <c r="C181" s="173"/>
      <c r="D181" s="187"/>
      <c r="E181" s="172"/>
      <c r="F181" s="172"/>
      <c r="G181" s="184">
        <v>180</v>
      </c>
      <c r="H181" s="185"/>
      <c r="I181" s="178" t="str">
        <f t="shared" ca="1" si="9"/>
        <v/>
      </c>
      <c r="J181" s="192"/>
      <c r="K181" s="180" t="str">
        <f t="shared" ca="1" si="10"/>
        <v/>
      </c>
      <c r="L181" s="170"/>
      <c r="M181" s="170"/>
      <c r="N181" s="181" t="str">
        <f t="shared" si="8"/>
        <v/>
      </c>
      <c r="O181" s="193"/>
      <c r="P181" s="194"/>
      <c r="Q181" s="67">
        <v>180</v>
      </c>
    </row>
    <row r="182" spans="1:17" ht="25.5" customHeight="1" x14ac:dyDescent="0.25">
      <c r="A182" s="70">
        <v>181</v>
      </c>
      <c r="B182" s="172"/>
      <c r="C182" s="173"/>
      <c r="D182" s="187"/>
      <c r="E182" s="172"/>
      <c r="F182" s="172"/>
      <c r="G182" s="184">
        <v>181</v>
      </c>
      <c r="H182" s="185"/>
      <c r="I182" s="178" t="str">
        <f t="shared" ca="1" si="9"/>
        <v/>
      </c>
      <c r="J182" s="192"/>
      <c r="K182" s="180" t="str">
        <f t="shared" ca="1" si="10"/>
        <v/>
      </c>
      <c r="L182" s="170"/>
      <c r="M182" s="170"/>
      <c r="N182" s="181" t="str">
        <f t="shared" si="8"/>
        <v/>
      </c>
      <c r="O182" s="193"/>
      <c r="P182" s="194"/>
      <c r="Q182" s="70">
        <v>181</v>
      </c>
    </row>
    <row r="183" spans="1:17" ht="25.5" customHeight="1" x14ac:dyDescent="0.25">
      <c r="A183" s="67">
        <v>182</v>
      </c>
      <c r="B183" s="187"/>
      <c r="C183" s="173"/>
      <c r="D183" s="187"/>
      <c r="E183" s="187"/>
      <c r="F183" s="187"/>
      <c r="G183" s="184">
        <v>182</v>
      </c>
      <c r="H183" s="185"/>
      <c r="I183" s="178" t="str">
        <f t="shared" ca="1" si="9"/>
        <v/>
      </c>
      <c r="J183" s="192"/>
      <c r="K183" s="180" t="str">
        <f t="shared" ca="1" si="10"/>
        <v/>
      </c>
      <c r="L183" s="170"/>
      <c r="M183" s="170"/>
      <c r="N183" s="181" t="str">
        <f t="shared" si="8"/>
        <v/>
      </c>
      <c r="O183" s="193"/>
      <c r="P183" s="194"/>
      <c r="Q183" s="67">
        <v>182</v>
      </c>
    </row>
    <row r="184" spans="1:17" ht="25.5" customHeight="1" x14ac:dyDescent="0.25">
      <c r="A184" s="70">
        <v>183</v>
      </c>
      <c r="B184" s="187"/>
      <c r="C184" s="173"/>
      <c r="D184" s="187"/>
      <c r="E184" s="187"/>
      <c r="F184" s="187"/>
      <c r="G184" s="184">
        <v>183</v>
      </c>
      <c r="H184" s="185"/>
      <c r="I184" s="178" t="str">
        <f t="shared" ca="1" si="9"/>
        <v/>
      </c>
      <c r="J184" s="192"/>
      <c r="K184" s="180" t="str">
        <f t="shared" ca="1" si="10"/>
        <v/>
      </c>
      <c r="L184" s="170"/>
      <c r="M184" s="170"/>
      <c r="N184" s="181" t="str">
        <f t="shared" si="8"/>
        <v/>
      </c>
      <c r="O184" s="193"/>
      <c r="P184" s="194"/>
      <c r="Q184" s="70">
        <v>183</v>
      </c>
    </row>
    <row r="185" spans="1:17" ht="25.5" customHeight="1" x14ac:dyDescent="0.25">
      <c r="A185" s="67">
        <v>184</v>
      </c>
      <c r="B185" s="187"/>
      <c r="C185" s="173"/>
      <c r="D185" s="187"/>
      <c r="E185" s="187"/>
      <c r="F185" s="187"/>
      <c r="G185" s="184">
        <v>184</v>
      </c>
      <c r="H185" s="185"/>
      <c r="I185" s="178" t="str">
        <f t="shared" ca="1" si="9"/>
        <v/>
      </c>
      <c r="J185" s="192"/>
      <c r="K185" s="180" t="str">
        <f t="shared" ca="1" si="10"/>
        <v/>
      </c>
      <c r="L185" s="170"/>
      <c r="M185" s="170"/>
      <c r="N185" s="181" t="str">
        <f t="shared" si="8"/>
        <v/>
      </c>
      <c r="O185" s="193"/>
      <c r="P185" s="194"/>
      <c r="Q185" s="67">
        <v>184</v>
      </c>
    </row>
    <row r="186" spans="1:17" ht="25.5" customHeight="1" x14ac:dyDescent="0.25">
      <c r="A186" s="70">
        <v>185</v>
      </c>
      <c r="B186" s="187"/>
      <c r="C186" s="173"/>
      <c r="D186" s="187"/>
      <c r="E186" s="187"/>
      <c r="F186" s="187"/>
      <c r="G186" s="184">
        <v>185</v>
      </c>
      <c r="H186" s="185"/>
      <c r="I186" s="178" t="str">
        <f t="shared" ca="1" si="9"/>
        <v/>
      </c>
      <c r="J186" s="192"/>
      <c r="K186" s="180" t="str">
        <f t="shared" ca="1" si="10"/>
        <v/>
      </c>
      <c r="L186" s="170"/>
      <c r="M186" s="170"/>
      <c r="N186" s="181" t="str">
        <f t="shared" si="8"/>
        <v/>
      </c>
      <c r="O186" s="193"/>
      <c r="P186" s="194"/>
      <c r="Q186" s="70">
        <v>185</v>
      </c>
    </row>
    <row r="187" spans="1:17" ht="25.5" customHeight="1" x14ac:dyDescent="0.25">
      <c r="A187" s="67">
        <v>186</v>
      </c>
      <c r="B187" s="187"/>
      <c r="C187" s="173"/>
      <c r="D187" s="187"/>
      <c r="E187" s="187"/>
      <c r="F187" s="187"/>
      <c r="G187" s="184">
        <v>186</v>
      </c>
      <c r="H187" s="185"/>
      <c r="I187" s="178" t="str">
        <f t="shared" ca="1" si="9"/>
        <v/>
      </c>
      <c r="J187" s="192"/>
      <c r="K187" s="180" t="str">
        <f t="shared" ca="1" si="10"/>
        <v/>
      </c>
      <c r="L187" s="170"/>
      <c r="M187" s="170"/>
      <c r="N187" s="181" t="str">
        <f t="shared" si="8"/>
        <v/>
      </c>
      <c r="O187" s="193"/>
      <c r="P187" s="194"/>
      <c r="Q187" s="67">
        <v>186</v>
      </c>
    </row>
    <row r="188" spans="1:17" ht="25.5" customHeight="1" x14ac:dyDescent="0.25">
      <c r="A188" s="70">
        <v>187</v>
      </c>
      <c r="B188" s="187"/>
      <c r="C188" s="173"/>
      <c r="D188" s="187"/>
      <c r="E188" s="187"/>
      <c r="F188" s="187"/>
      <c r="G188" s="184">
        <v>187</v>
      </c>
      <c r="H188" s="185"/>
      <c r="I188" s="178" t="str">
        <f t="shared" ca="1" si="9"/>
        <v/>
      </c>
      <c r="J188" s="192"/>
      <c r="K188" s="180" t="str">
        <f t="shared" ca="1" si="10"/>
        <v/>
      </c>
      <c r="L188" s="170"/>
      <c r="M188" s="170"/>
      <c r="N188" s="181" t="str">
        <f t="shared" si="8"/>
        <v/>
      </c>
      <c r="O188" s="193"/>
      <c r="P188" s="194"/>
      <c r="Q188" s="70">
        <v>187</v>
      </c>
    </row>
    <row r="189" spans="1:17" ht="25.5" customHeight="1" x14ac:dyDescent="0.25">
      <c r="A189" s="67">
        <v>188</v>
      </c>
      <c r="B189" s="187"/>
      <c r="C189" s="173"/>
      <c r="D189" s="187"/>
      <c r="E189" s="187"/>
      <c r="F189" s="187"/>
      <c r="G189" s="184">
        <v>188</v>
      </c>
      <c r="H189" s="185"/>
      <c r="I189" s="178" t="str">
        <f t="shared" ca="1" si="9"/>
        <v/>
      </c>
      <c r="J189" s="192"/>
      <c r="K189" s="180" t="str">
        <f t="shared" ca="1" si="10"/>
        <v/>
      </c>
      <c r="L189" s="170"/>
      <c r="M189" s="170"/>
      <c r="N189" s="181" t="str">
        <f t="shared" si="8"/>
        <v/>
      </c>
      <c r="O189" s="193"/>
      <c r="P189" s="194"/>
      <c r="Q189" s="67">
        <v>188</v>
      </c>
    </row>
    <row r="190" spans="1:17" ht="25.5" customHeight="1" x14ac:dyDescent="0.25">
      <c r="A190" s="70">
        <v>189</v>
      </c>
      <c r="B190" s="187"/>
      <c r="C190" s="173"/>
      <c r="D190" s="187"/>
      <c r="E190" s="187"/>
      <c r="F190" s="187"/>
      <c r="G190" s="184">
        <v>189</v>
      </c>
      <c r="H190" s="185"/>
      <c r="I190" s="178" t="str">
        <f t="shared" ca="1" si="9"/>
        <v/>
      </c>
      <c r="J190" s="192"/>
      <c r="K190" s="180" t="str">
        <f t="shared" ca="1" si="10"/>
        <v/>
      </c>
      <c r="L190" s="170"/>
      <c r="M190" s="170"/>
      <c r="N190" s="181" t="str">
        <f t="shared" si="8"/>
        <v/>
      </c>
      <c r="O190" s="193"/>
      <c r="P190" s="194"/>
      <c r="Q190" s="70">
        <v>189</v>
      </c>
    </row>
    <row r="191" spans="1:17" ht="25.5" customHeight="1" x14ac:dyDescent="0.25">
      <c r="A191" s="67">
        <v>190</v>
      </c>
      <c r="B191" s="187"/>
      <c r="C191" s="173"/>
      <c r="D191" s="187"/>
      <c r="E191" s="187"/>
      <c r="F191" s="187"/>
      <c r="G191" s="184">
        <v>190</v>
      </c>
      <c r="H191" s="185"/>
      <c r="I191" s="178" t="str">
        <f t="shared" ca="1" si="9"/>
        <v/>
      </c>
      <c r="J191" s="192"/>
      <c r="K191" s="180" t="str">
        <f t="shared" ca="1" si="10"/>
        <v/>
      </c>
      <c r="L191" s="170"/>
      <c r="M191" s="170"/>
      <c r="N191" s="181" t="str">
        <f t="shared" si="8"/>
        <v/>
      </c>
      <c r="O191" s="193"/>
      <c r="P191" s="194"/>
      <c r="Q191" s="67">
        <v>190</v>
      </c>
    </row>
    <row r="192" spans="1:17" ht="25.5" customHeight="1" x14ac:dyDescent="0.25">
      <c r="A192" s="70">
        <v>191</v>
      </c>
      <c r="B192" s="172"/>
      <c r="C192" s="173"/>
      <c r="D192" s="187"/>
      <c r="E192" s="172"/>
      <c r="F192" s="172"/>
      <c r="G192" s="184">
        <v>191</v>
      </c>
      <c r="H192" s="185"/>
      <c r="I192" s="178" t="str">
        <f t="shared" ca="1" si="9"/>
        <v/>
      </c>
      <c r="J192" s="192"/>
      <c r="K192" s="180" t="str">
        <f t="shared" ca="1" si="10"/>
        <v/>
      </c>
      <c r="L192" s="170"/>
      <c r="M192" s="170"/>
      <c r="N192" s="181" t="str">
        <f t="shared" si="8"/>
        <v/>
      </c>
      <c r="O192" s="193"/>
      <c r="P192" s="194"/>
      <c r="Q192" s="70">
        <v>191</v>
      </c>
    </row>
    <row r="193" spans="1:17" ht="25.5" customHeight="1" x14ac:dyDescent="0.25">
      <c r="A193" s="67">
        <v>192</v>
      </c>
      <c r="B193" s="172"/>
      <c r="C193" s="173"/>
      <c r="D193" s="187"/>
      <c r="E193" s="172"/>
      <c r="F193" s="172"/>
      <c r="G193" s="184">
        <v>192</v>
      </c>
      <c r="H193" s="185"/>
      <c r="I193" s="178" t="str">
        <f t="shared" ca="1" si="9"/>
        <v/>
      </c>
      <c r="J193" s="192"/>
      <c r="K193" s="180" t="str">
        <f t="shared" ca="1" si="10"/>
        <v/>
      </c>
      <c r="L193" s="170"/>
      <c r="M193" s="170"/>
      <c r="N193" s="181" t="str">
        <f t="shared" si="8"/>
        <v/>
      </c>
      <c r="O193" s="193"/>
      <c r="P193" s="194"/>
      <c r="Q193" s="67">
        <v>192</v>
      </c>
    </row>
    <row r="194" spans="1:17" ht="25.5" customHeight="1" x14ac:dyDescent="0.25">
      <c r="A194" s="70">
        <v>193</v>
      </c>
      <c r="B194" s="187"/>
      <c r="C194" s="173"/>
      <c r="D194" s="187"/>
      <c r="E194" s="187"/>
      <c r="F194" s="187"/>
      <c r="G194" s="184">
        <v>193</v>
      </c>
      <c r="H194" s="185"/>
      <c r="I194" s="178" t="str">
        <f t="shared" ca="1" si="9"/>
        <v/>
      </c>
      <c r="J194" s="192"/>
      <c r="K194" s="180" t="str">
        <f t="shared" ca="1" si="10"/>
        <v/>
      </c>
      <c r="L194" s="170"/>
      <c r="M194" s="170"/>
      <c r="N194" s="181" t="str">
        <f t="shared" ref="N194:N201" si="11">IF(OR(AND(B194=$T$39,F194=$S$40,B194&lt;&gt;"",F194&lt;&gt;""),AND(B194=$T$41,F194=$S$42,B194&lt;&gt;"",F194&lt;&gt;""),AND(B194=$T$43,F194=$S$44,B194&lt;&gt;"",F194&lt;&gt;""),AND(B194=$T$45,F194=$S$46,B194&lt;&gt;"",F194&lt;&gt;""),AND(B194=$T$47,F194=$S$48,B194&lt;&gt;"",F194&lt;&gt;""),AND(B194=$T$49,F194=$S$50,B194&lt;&gt;"",F194&lt;&gt;""),AND(B194=$T$51,F194=$S$52,B194&lt;&gt;"",F194&lt;&gt;""),AND(B194=$T$53,F194=$S$54,B194&lt;&gt;"",F194&lt;&gt;""),AND(B194=$T$55,F194=$S$56,B194&lt;&gt;"",F194&lt;&gt;""),AND(B194=$T$57,F194=$S$58,B194&lt;&gt;"",F194&lt;&gt;""),AND(B194=$T$59,F194=$S$60,B194&lt;&gt;"",F194&lt;&gt;""),AND(B194=$T$61,F194=$S$62,B194&lt;&gt;"",F194&lt;&gt;""),AND(B194=$T$63,F194=$S$64,B194&lt;&gt;"",F194&lt;&gt;""),AND(B194=$T$65,F194=$S$66,B194&lt;&gt;"",F194&lt;&gt;""),AND(B194=$T$67,F194=$S$68,B194&lt;&gt;"",F194&lt;&gt;""),AND(B194=$T$69,F194=$S$70,B194&lt;&gt;"",F194&lt;&gt;""),AND(B194=$T$71,F194=$S$72,B194&lt;&gt;"",F194&lt;&gt;""),AND(B194=$T$73,F194=$S$74,B194&lt;&gt;"",F194&lt;&gt;""),AND(B194=$T$75,F194=$S$76,B194&lt;&gt;"",F194&lt;&gt;""),AND(B194=$T$77,F194=$S$78,B194&lt;&gt;"",F194&lt;&gt;""),AND(B194=$T$79,F194=$S$80,B194&lt;&gt;"",F194&lt;&gt;""),AND(B194=$T$81,F194=$S$82,B194&lt;&gt;"",F194&lt;&gt;"")),"TRASFERIMENTO","")</f>
        <v/>
      </c>
      <c r="O194" s="193"/>
      <c r="P194" s="194"/>
      <c r="Q194" s="70">
        <v>193</v>
      </c>
    </row>
    <row r="195" spans="1:17" ht="25.5" customHeight="1" x14ac:dyDescent="0.25">
      <c r="A195" s="67">
        <v>194</v>
      </c>
      <c r="B195" s="172"/>
      <c r="C195" s="173"/>
      <c r="D195" s="187"/>
      <c r="E195" s="172"/>
      <c r="F195" s="172"/>
      <c r="G195" s="184">
        <v>194</v>
      </c>
      <c r="H195" s="185"/>
      <c r="I195" s="178" t="str">
        <f t="shared" ca="1" si="9"/>
        <v/>
      </c>
      <c r="J195" s="192"/>
      <c r="K195" s="180" t="str">
        <f t="shared" ca="1" si="10"/>
        <v/>
      </c>
      <c r="L195" s="170"/>
      <c r="M195" s="170"/>
      <c r="N195" s="181" t="str">
        <f t="shared" si="11"/>
        <v/>
      </c>
      <c r="O195" s="193"/>
      <c r="P195" s="194"/>
      <c r="Q195" s="67">
        <v>194</v>
      </c>
    </row>
    <row r="196" spans="1:17" ht="25.5" customHeight="1" x14ac:dyDescent="0.25">
      <c r="A196" s="70">
        <v>195</v>
      </c>
      <c r="B196" s="172"/>
      <c r="C196" s="173"/>
      <c r="D196" s="187"/>
      <c r="E196" s="172"/>
      <c r="F196" s="172"/>
      <c r="G196" s="184">
        <v>195</v>
      </c>
      <c r="H196" s="185"/>
      <c r="I196" s="178" t="str">
        <f t="shared" ref="I196:I201" ca="1" si="12">IF(H196&lt;&gt;"", IF(I196="", NOW(), I196), "")</f>
        <v/>
      </c>
      <c r="J196" s="192"/>
      <c r="K196" s="180" t="str">
        <f t="shared" ref="K196:K201" ca="1" si="13">IF(L196&lt;&gt;"", IF(K196="", NOW(), K196), "")</f>
        <v/>
      </c>
      <c r="L196" s="170"/>
      <c r="M196" s="170"/>
      <c r="N196" s="181" t="str">
        <f t="shared" si="11"/>
        <v/>
      </c>
      <c r="O196" s="193"/>
      <c r="P196" s="194"/>
      <c r="Q196" s="70">
        <v>195</v>
      </c>
    </row>
    <row r="197" spans="1:17" ht="25.5" customHeight="1" x14ac:dyDescent="0.25">
      <c r="A197" s="67">
        <v>196</v>
      </c>
      <c r="B197" s="187"/>
      <c r="C197" s="173"/>
      <c r="D197" s="187"/>
      <c r="E197" s="187"/>
      <c r="F197" s="187"/>
      <c r="G197" s="184">
        <v>196</v>
      </c>
      <c r="H197" s="185"/>
      <c r="I197" s="178" t="str">
        <f t="shared" ca="1" si="12"/>
        <v/>
      </c>
      <c r="J197" s="192"/>
      <c r="K197" s="180" t="str">
        <f t="shared" ca="1" si="13"/>
        <v/>
      </c>
      <c r="L197" s="170"/>
      <c r="M197" s="170"/>
      <c r="N197" s="181" t="str">
        <f t="shared" si="11"/>
        <v/>
      </c>
      <c r="O197" s="193"/>
      <c r="P197" s="194"/>
      <c r="Q197" s="67">
        <v>196</v>
      </c>
    </row>
    <row r="198" spans="1:17" ht="25.5" customHeight="1" x14ac:dyDescent="0.25">
      <c r="A198" s="70">
        <v>197</v>
      </c>
      <c r="B198" s="187"/>
      <c r="C198" s="173"/>
      <c r="D198" s="187"/>
      <c r="E198" s="187"/>
      <c r="F198" s="187"/>
      <c r="G198" s="184">
        <v>197</v>
      </c>
      <c r="H198" s="185"/>
      <c r="I198" s="178" t="str">
        <f t="shared" ca="1" si="12"/>
        <v/>
      </c>
      <c r="J198" s="192"/>
      <c r="K198" s="180" t="str">
        <f t="shared" ca="1" si="13"/>
        <v/>
      </c>
      <c r="L198" s="170"/>
      <c r="M198" s="170"/>
      <c r="N198" s="181" t="str">
        <f t="shared" si="11"/>
        <v/>
      </c>
      <c r="O198" s="193"/>
      <c r="P198" s="194"/>
      <c r="Q198" s="70">
        <v>197</v>
      </c>
    </row>
    <row r="199" spans="1:17" ht="25.5" customHeight="1" x14ac:dyDescent="0.25">
      <c r="A199" s="67">
        <v>198</v>
      </c>
      <c r="B199" s="187"/>
      <c r="C199" s="173"/>
      <c r="D199" s="187"/>
      <c r="E199" s="187"/>
      <c r="F199" s="187"/>
      <c r="G199" s="184">
        <v>198</v>
      </c>
      <c r="H199" s="185"/>
      <c r="I199" s="178" t="str">
        <f t="shared" ca="1" si="12"/>
        <v/>
      </c>
      <c r="J199" s="192"/>
      <c r="K199" s="180" t="str">
        <f t="shared" ca="1" si="13"/>
        <v/>
      </c>
      <c r="L199" s="170"/>
      <c r="M199" s="170"/>
      <c r="N199" s="181" t="str">
        <f t="shared" si="11"/>
        <v/>
      </c>
      <c r="O199" s="193"/>
      <c r="P199" s="194"/>
      <c r="Q199" s="67">
        <v>198</v>
      </c>
    </row>
    <row r="200" spans="1:17" ht="25.5" customHeight="1" x14ac:dyDescent="0.25">
      <c r="A200" s="70">
        <v>199</v>
      </c>
      <c r="B200" s="187"/>
      <c r="C200" s="173"/>
      <c r="D200" s="187"/>
      <c r="E200" s="187"/>
      <c r="F200" s="187"/>
      <c r="G200" s="184">
        <v>199</v>
      </c>
      <c r="H200" s="185"/>
      <c r="I200" s="178" t="str">
        <f t="shared" ca="1" si="12"/>
        <v/>
      </c>
      <c r="J200" s="192"/>
      <c r="K200" s="180" t="str">
        <f t="shared" ca="1" si="13"/>
        <v/>
      </c>
      <c r="L200" s="170"/>
      <c r="M200" s="170"/>
      <c r="N200" s="181" t="str">
        <f t="shared" si="11"/>
        <v/>
      </c>
      <c r="O200" s="193"/>
      <c r="P200" s="194"/>
      <c r="Q200" s="70">
        <v>199</v>
      </c>
    </row>
    <row r="201" spans="1:17" ht="25.5" customHeight="1" x14ac:dyDescent="0.25">
      <c r="A201" s="67">
        <v>200</v>
      </c>
      <c r="B201" s="187"/>
      <c r="C201" s="173"/>
      <c r="D201" s="187"/>
      <c r="E201" s="187"/>
      <c r="F201" s="187"/>
      <c r="G201" s="184">
        <v>200</v>
      </c>
      <c r="H201" s="185"/>
      <c r="I201" s="178" t="str">
        <f t="shared" ca="1" si="12"/>
        <v/>
      </c>
      <c r="J201" s="192"/>
      <c r="K201" s="180" t="str">
        <f t="shared" ca="1" si="13"/>
        <v/>
      </c>
      <c r="L201" s="170"/>
      <c r="M201" s="170"/>
      <c r="N201" s="181" t="str">
        <f t="shared" si="11"/>
        <v/>
      </c>
      <c r="O201" s="193"/>
      <c r="P201" s="194"/>
      <c r="Q201" s="67">
        <v>200</v>
      </c>
    </row>
    <row r="202" spans="1:17" x14ac:dyDescent="0.25">
      <c r="B202" s="63" t="s">
        <v>353</v>
      </c>
    </row>
  </sheetData>
  <dataConsolidate/>
  <mergeCells count="110">
    <mergeCell ref="AI21:AL21"/>
    <mergeCell ref="AH9:AN9"/>
    <mergeCell ref="AI11:AL11"/>
    <mergeCell ref="AI13:AL13"/>
    <mergeCell ref="AI15:AL15"/>
    <mergeCell ref="S40:U40"/>
    <mergeCell ref="T19:U19"/>
    <mergeCell ref="T21:U21"/>
    <mergeCell ref="I1:K1"/>
    <mergeCell ref="S1:T1"/>
    <mergeCell ref="T6:U6"/>
    <mergeCell ref="T17:U17"/>
    <mergeCell ref="AA13:AC13"/>
    <mergeCell ref="AA11:AC11"/>
    <mergeCell ref="AA17:AC17"/>
    <mergeCell ref="Z9:AF9"/>
    <mergeCell ref="T8:V8"/>
    <mergeCell ref="S2:X2"/>
    <mergeCell ref="T4:U4"/>
    <mergeCell ref="AA15:AC15"/>
    <mergeCell ref="T15:U15"/>
    <mergeCell ref="T13:V13"/>
    <mergeCell ref="T11:U11"/>
    <mergeCell ref="T10:U10"/>
    <mergeCell ref="T12:U12"/>
    <mergeCell ref="AC37:AI37"/>
    <mergeCell ref="AG38:AI38"/>
    <mergeCell ref="AI17:AL17"/>
    <mergeCell ref="AI19:AL19"/>
    <mergeCell ref="AA23:AC23"/>
    <mergeCell ref="AA21:AC21"/>
    <mergeCell ref="AA19:AC19"/>
    <mergeCell ref="AA27:AC27"/>
    <mergeCell ref="AA29:AC29"/>
    <mergeCell ref="AA31:AC31"/>
    <mergeCell ref="AA33:AC33"/>
    <mergeCell ref="S38:W38"/>
    <mergeCell ref="AA25:AC25"/>
    <mergeCell ref="T35:U35"/>
    <mergeCell ref="S37:U37"/>
    <mergeCell ref="AA35:AC35"/>
    <mergeCell ref="T29:U29"/>
    <mergeCell ref="T31:U31"/>
    <mergeCell ref="T33:U33"/>
    <mergeCell ref="T23:U23"/>
    <mergeCell ref="T25:U25"/>
    <mergeCell ref="T27:U27"/>
    <mergeCell ref="S60:U60"/>
    <mergeCell ref="T61:U61"/>
    <mergeCell ref="S62:U62"/>
    <mergeCell ref="T63:U63"/>
    <mergeCell ref="T39:U39"/>
    <mergeCell ref="T45:U45"/>
    <mergeCell ref="S46:U46"/>
    <mergeCell ref="T47:U47"/>
    <mergeCell ref="S48:U48"/>
    <mergeCell ref="S44:U44"/>
    <mergeCell ref="T41:U41"/>
    <mergeCell ref="S42:U42"/>
    <mergeCell ref="T43:U43"/>
    <mergeCell ref="T49:U49"/>
    <mergeCell ref="S50:U50"/>
    <mergeCell ref="T51:U51"/>
    <mergeCell ref="S52:U52"/>
    <mergeCell ref="T53:U53"/>
    <mergeCell ref="T59:U59"/>
    <mergeCell ref="S54:U54"/>
    <mergeCell ref="T55:U55"/>
    <mergeCell ref="S56:U56"/>
    <mergeCell ref="T57:U57"/>
    <mergeCell ref="S58:U58"/>
    <mergeCell ref="T79:U79"/>
    <mergeCell ref="S80:U80"/>
    <mergeCell ref="T81:U81"/>
    <mergeCell ref="S82:U82"/>
    <mergeCell ref="S74:U74"/>
    <mergeCell ref="T75:U75"/>
    <mergeCell ref="S76:U76"/>
    <mergeCell ref="T77:U77"/>
    <mergeCell ref="S78:U78"/>
    <mergeCell ref="T69:U69"/>
    <mergeCell ref="S70:U70"/>
    <mergeCell ref="T71:U71"/>
    <mergeCell ref="S72:U72"/>
    <mergeCell ref="T73:U73"/>
    <mergeCell ref="S64:U64"/>
    <mergeCell ref="T65:U65"/>
    <mergeCell ref="S66:U66"/>
    <mergeCell ref="T67:U67"/>
    <mergeCell ref="S68:U68"/>
    <mergeCell ref="S84:W84"/>
    <mergeCell ref="T85:U85"/>
    <mergeCell ref="S86:U86"/>
    <mergeCell ref="T87:U87"/>
    <mergeCell ref="S88:U88"/>
    <mergeCell ref="T89:U89"/>
    <mergeCell ref="S90:U90"/>
    <mergeCell ref="T91:U91"/>
    <mergeCell ref="S92:U92"/>
    <mergeCell ref="S102:U102"/>
    <mergeCell ref="T103:U103"/>
    <mergeCell ref="T93:U93"/>
    <mergeCell ref="S94:U94"/>
    <mergeCell ref="T95:U95"/>
    <mergeCell ref="S96:U96"/>
    <mergeCell ref="T97:U97"/>
    <mergeCell ref="S98:U98"/>
    <mergeCell ref="T99:U99"/>
    <mergeCell ref="S100:U100"/>
    <mergeCell ref="T101:U101"/>
  </mergeCells>
  <conditionalFormatting sqref="H2:H201">
    <cfRule type="containsText" dxfId="96" priority="43" operator="containsText" text="PARTI PRESSE">
      <formula>NOT(ISERROR(SEARCH("PARTI PRESSE",H2)))</formula>
    </cfRule>
    <cfRule type="containsText" dxfId="95" priority="44" operator="containsText" text="BANDA STA">
      <formula>NOT(ISERROR(SEARCH("BANDA STA",H2)))</formula>
    </cfRule>
    <cfRule type="containsText" dxfId="94" priority="45" operator="containsText" text="PROFILI ACC">
      <formula>NOT(ISERROR(SEARCH("PROFILI ACC",H2)))</formula>
    </cfRule>
    <cfRule type="containsText" dxfId="93" priority="46" operator="containsText" text="GHISA">
      <formula>NOT(ISERROR(SEARCH("GHISA",H2)))</formula>
    </cfRule>
    <cfRule type="containsText" dxfId="92" priority="47" operator="containsText" text="GHISA">
      <formula>NOT(ISERROR(SEARCH("GHISA",H2)))</formula>
    </cfRule>
    <cfRule type="containsText" dxfId="91" priority="48" operator="containsText" text="GHISA">
      <formula>NOT(ISERROR(SEARCH("GHISA",H2)))</formula>
    </cfRule>
    <cfRule type="containsText" dxfId="90" priority="53" operator="containsText" text="BILLETTE">
      <formula>NOT(ISERROR(SEARCH("BILLETTE",H2)))</formula>
    </cfRule>
    <cfRule type="containsText" dxfId="89" priority="54" operator="containsText" text="BRAMME">
      <formula>NOT(ISERROR(SEARCH("BRAMME",H2)))</formula>
    </cfRule>
    <cfRule type="containsText" dxfId="88" priority="84" operator="containsText" text="TRONCHI">
      <formula>NOT(ISERROR(SEARCH("TRONCHI",H2)))</formula>
    </cfRule>
    <cfRule type="containsText" dxfId="87" priority="90" operator="containsText" text="PALANCOLE">
      <formula>NOT(ISERROR(SEARCH("PALANCOLE",H2)))</formula>
    </cfRule>
    <cfRule type="containsText" dxfId="86" priority="92" operator="containsText" text="TUBI">
      <formula>NOT(ISERROR(SEARCH("TUBI",H2)))</formula>
    </cfRule>
    <cfRule type="containsText" dxfId="85" priority="102" operator="containsText" text="BULBI">
      <formula>NOT(ISERROR(SEARCH("BULBI",H2)))</formula>
    </cfRule>
    <cfRule type="containsText" dxfId="84" priority="103" operator="containsText" text="VERGELLA">
      <formula>NOT(ISERROR(SEARCH("VERGELLA",H2)))</formula>
    </cfRule>
    <cfRule type="containsText" dxfId="83" priority="104" operator="containsText" text="BARRE">
      <formula>NOT(ISERROR(SEARCH("BARRE",H2)))</formula>
    </cfRule>
    <cfRule type="containsText" dxfId="82" priority="105" operator="containsText" text="LAMIERE">
      <formula>NOT(ISERROR(SEARCH("LAMIERE",H2)))</formula>
    </cfRule>
    <cfRule type="containsText" dxfId="81" priority="106" operator="containsText" text="COILS">
      <formula>NOT(ISERROR(SEARCH("COILS",H2)))</formula>
    </cfRule>
  </conditionalFormatting>
  <conditionalFormatting sqref="I2:I201">
    <cfRule type="notContainsBlanks" dxfId="80" priority="111">
      <formula>LEN(TRIM(I2))&gt;0</formula>
    </cfRule>
  </conditionalFormatting>
  <conditionalFormatting sqref="K2:K201">
    <cfRule type="notContainsBlanks" dxfId="79" priority="110">
      <formula>LEN(TRIM(K2))&gt;0</formula>
    </cfRule>
  </conditionalFormatting>
  <conditionalFormatting sqref="N2:O201">
    <cfRule type="containsText" dxfId="78" priority="82" operator="containsText" text="SCARICA">
      <formula>NOT(ISERROR(SEARCH("SCARICA",N2)))</formula>
    </cfRule>
    <cfRule type="containsText" dxfId="77" priority="86" operator="containsText" text="NON IDONEO">
      <formula>NOT(ISERROR(SEARCH("NON IDONEO",N2)))</formula>
    </cfRule>
    <cfRule type="containsText" dxfId="76" priority="87" operator="containsText" text="PRENOTAZIONE FASULLA">
      <formula>NOT(ISERROR(SEARCH("PRENOTAZIONE FASULLA",N2)))</formula>
    </cfRule>
    <cfRule type="containsText" dxfId="75" priority="89" operator="containsText" text="ASSENTE">
      <formula>NOT(ISERROR(SEARCH("ASSENTE",N2)))</formula>
    </cfRule>
    <cfRule type="containsText" dxfId="74" priority="91" operator="containsText" text="T1">
      <formula>NOT(ISERROR(SEARCH("T1",N2)))</formula>
    </cfRule>
    <cfRule type="containsText" dxfId="73" priority="93" operator="containsText" text="INOX">
      <formula>NOT(ISERROR(SEARCH("INOX",N2)))</formula>
    </cfRule>
    <cfRule type="containsText" dxfId="72" priority="94" operator="containsText" text="CAMBIO BOLLA">
      <formula>NOT(ISERROR(SEARCH("CAMBIO BOLLA",N2)))</formula>
    </cfRule>
    <cfRule type="containsText" dxfId="71" priority="95" operator="containsText" text="NON CARICATO">
      <formula>NOT(ISERROR(SEARCH("NON CARICATO",N2)))</formula>
    </cfRule>
    <cfRule type="containsText" dxfId="70" priority="96" operator="containsText" text="2 VIAGGI">
      <formula>NOT(ISERROR(SEARCH("2 VIAGGI",N2)))</formula>
    </cfRule>
    <cfRule type="containsText" dxfId="69" priority="97" operator="containsText" text="PRECEDENZA">
      <formula>NOT(ISERROR(SEARCH("PRECEDENZA",N2)))</formula>
    </cfRule>
    <cfRule type="containsText" dxfId="68" priority="98" operator="containsText" text="MANCA TARGA">
      <formula>NOT(ISERROR(SEARCH("MANCA TARGA",N2)))</formula>
    </cfRule>
  </conditionalFormatting>
  <conditionalFormatting sqref="N2:O201">
    <cfRule type="containsText" dxfId="67" priority="88" operator="containsText" text="NON IDONEO">
      <formula>NOT(ISERROR(SEARCH("NON IDONEO",N2)))</formula>
    </cfRule>
  </conditionalFormatting>
  <conditionalFormatting sqref="N202:P1048576 N1:O201">
    <cfRule type="containsText" dxfId="66" priority="83" operator="containsText" text="TRASFERIMENTO">
      <formula>NOT(ISERROR(SEARCH("TRASFERIMENTO",N1)))</formula>
    </cfRule>
  </conditionalFormatting>
  <conditionalFormatting sqref="N202:P1048576 N1:O201">
    <cfRule type="containsText" dxfId="65" priority="81" operator="containsText" text="CAMBIO TARGA AL CARICO">
      <formula>NOT(ISERROR(SEARCH("CAMBIO TARGA AL CARICO",N1)))</formula>
    </cfRule>
  </conditionalFormatting>
  <conditionalFormatting sqref="P1">
    <cfRule type="containsText" dxfId="64" priority="79" operator="containsText" text="TRASFERIMENTO">
      <formula>NOT(ISERROR(SEARCH("TRASFERIMENTO",P1)))</formula>
    </cfRule>
  </conditionalFormatting>
  <conditionalFormatting sqref="P1">
    <cfRule type="containsText" dxfId="63" priority="78" operator="containsText" text="CAMBIO TARGA AL CARICO">
      <formula>NOT(ISERROR(SEARCH("CAMBIO TARGA AL CARICO",P1)))</formula>
    </cfRule>
  </conditionalFormatting>
  <conditionalFormatting sqref="P2:P201">
    <cfRule type="containsText" dxfId="62" priority="5" operator="containsText" text="SOCO VECCHIA">
      <formula>NOT(ISERROR(SEARCH("SOCO VECCHIA",P2)))</formula>
    </cfRule>
    <cfRule type="containsText" dxfId="61" priority="11" operator="containsText" text="MICRON MIN">
      <formula>NOT(ISERROR(SEARCH("MICRON MIN",P2)))</formula>
    </cfRule>
    <cfRule type="containsText" dxfId="60" priority="12" operator="containsText" text="RA MILL">
      <formula>NOT(ISERROR(SEARCH("RA MILL",P2)))</formula>
    </cfRule>
    <cfRule type="containsText" dxfId="59" priority="13" operator="containsText" text="3B">
      <formula>NOT(ISERROR(SEARCH("3B",P2)))</formula>
    </cfRule>
    <cfRule type="containsText" dxfId="58" priority="14" operator="containsText" text="S.MARCO">
      <formula>NOT(ISERROR(SEARCH("S.MARCO",P2)))</formula>
    </cfRule>
    <cfRule type="containsText" dxfId="57" priority="15" operator="containsText" text="EX.MERZ">
      <formula>NOT(ISERROR(SEARCH("EX.MERZ",P2)))</formula>
    </cfRule>
    <cfRule type="containsText" dxfId="56" priority="16" operator="containsText" text="16">
      <formula>NOT(ISERROR(SEARCH("16",P2)))</formula>
    </cfRule>
    <cfRule type="containsText" dxfId="55" priority="17" operator="containsText" text="18">
      <formula>NOT(ISERROR(SEARCH("18",P2)))</formula>
    </cfRule>
    <cfRule type="cellIs" dxfId="54" priority="18" operator="between">
      <formula>5</formula>
      <formula>6</formula>
    </cfRule>
    <cfRule type="containsText" dxfId="53" priority="19" operator="containsText" text="8">
      <formula>NOT(ISERROR(SEARCH("8",P2)))</formula>
    </cfRule>
    <cfRule type="containsText" dxfId="52" priority="20" operator="containsText" text="4">
      <formula>NOT(ISERROR(SEARCH("4",P2)))</formula>
    </cfRule>
    <cfRule type="containsText" dxfId="51" priority="21" operator="containsText" text="3">
      <formula>NOT(ISERROR(SEARCH("3",P2)))</formula>
    </cfRule>
    <cfRule type="cellIs" dxfId="50" priority="22" operator="equal">
      <formula>2</formula>
    </cfRule>
    <cfRule type="containsText" dxfId="49" priority="55" operator="containsText" text="TYELEFONA AL CLIENTE">
      <formula>NOT(ISERROR(SEARCH("TYELEFONA AL CLIENTE",P2)))</formula>
    </cfRule>
    <cfRule type="notContainsBlanks" dxfId="48" priority="112" stopIfTrue="1">
      <formula>LEN(TRIM(P2))&gt;0</formula>
    </cfRule>
  </conditionalFormatting>
  <conditionalFormatting sqref="P2:P201">
    <cfRule type="containsText" dxfId="47" priority="66" operator="containsText" text="NON IDONEO">
      <formula>NOT(ISERROR(SEARCH("NON IDONEO",P2)))</formula>
    </cfRule>
    <cfRule type="containsText" dxfId="46" priority="70" operator="containsText" text="T1">
      <formula>NOT(ISERROR(SEARCH("T1",P2)))</formula>
    </cfRule>
    <cfRule type="containsText" dxfId="45" priority="71" operator="containsText" text="INOX">
      <formula>NOT(ISERROR(SEARCH("INOX",P2)))</formula>
    </cfRule>
    <cfRule type="containsText" dxfId="44" priority="72" operator="containsText" text="CAMBIO BOLLA">
      <formula>NOT(ISERROR(SEARCH("CAMBIO BOLLA",P2)))</formula>
    </cfRule>
    <cfRule type="containsText" dxfId="43" priority="73" operator="containsText" text="NON CARICATO">
      <formula>NOT(ISERROR(SEARCH("NON CARICATO",P2)))</formula>
    </cfRule>
    <cfRule type="containsText" dxfId="42" priority="76" operator="containsText" text="MANCA TARGA">
      <formula>NOT(ISERROR(SEARCH("MANCA TARGA",P2)))</formula>
    </cfRule>
  </conditionalFormatting>
  <conditionalFormatting sqref="P50 P58 P66 P74 P82 P90 P98 P106 P114 P122 P130 P138 P149 P160 P162 P164 P166 P168 P170 P172 P174 P176 P178 P180 P182 P184 P186 P188 P190 P192 P194 P196 P198 P200">
    <cfRule type="containsText" dxfId="41" priority="68" operator="containsText" text="NON IDONEO">
      <formula>NOT(ISERROR(SEARCH("NON IDONEO",P50)))</formula>
    </cfRule>
  </conditionalFormatting>
  <conditionalFormatting sqref="N1:O1048576">
    <cfRule type="containsText" dxfId="40" priority="63" operator="containsText" text="USCITO SENZA BOLLA">
      <formula>NOT(ISERROR(SEARCH("USCITO SENZA BOLLA",N1)))</formula>
    </cfRule>
  </conditionalFormatting>
  <conditionalFormatting sqref="D2:D4 D58:D62 D65:D201 D7:D48 D50:D56">
    <cfRule type="containsText" dxfId="39" priority="61" operator="containsText" text="E">
      <formula>NOT(ISERROR(SEARCH("E",D2)))</formula>
    </cfRule>
  </conditionalFormatting>
  <conditionalFormatting sqref="AI11 P1:P1048576">
    <cfRule type="containsText" dxfId="38" priority="58" operator="containsText" text="SCARICO SETRAMAR">
      <formula>NOT(ISERROR(SEARCH("SCARICO SETRAMAR",P1)))</formula>
    </cfRule>
  </conditionalFormatting>
  <conditionalFormatting sqref="AI13 P2:P201">
    <cfRule type="containsText" dxfId="37" priority="59" operator="containsText" text="BUONO ANTICIPATO">
      <formula>NOT(ISERROR(SEARCH("BUONO ANTICIPATO",P2)))</formula>
    </cfRule>
  </conditionalFormatting>
  <conditionalFormatting sqref="AI15:AL15 P1:P1048576">
    <cfRule type="containsText" dxfId="36" priority="57" operator="containsText" text="TUTTO IL GIORNO">
      <formula>NOT(ISERROR(SEARCH("TUTTO IL GIORNO",P1)))</formula>
    </cfRule>
  </conditionalFormatting>
  <conditionalFormatting sqref="AI17:AL17 P1:P1048576">
    <cfRule type="containsText" dxfId="35" priority="56" operator="containsText" text="MANCA PRATICA">
      <formula>NOT(ISERROR(SEARCH("MANCA PRATICA",P1)))</formula>
    </cfRule>
  </conditionalFormatting>
  <conditionalFormatting sqref="D49">
    <cfRule type="containsText" dxfId="34" priority="52" operator="containsText" text="E">
      <formula>NOT(ISERROR(SEARCH("E",D49)))</formula>
    </cfRule>
  </conditionalFormatting>
  <conditionalFormatting sqref="D57">
    <cfRule type="containsText" dxfId="33" priority="51" operator="containsText" text="E">
      <formula>NOT(ISERROR(SEARCH("E",D57)))</formula>
    </cfRule>
  </conditionalFormatting>
  <conditionalFormatting sqref="D63">
    <cfRule type="containsText" dxfId="32" priority="50" operator="containsText" text="E">
      <formula>NOT(ISERROR(SEARCH("E",D63)))</formula>
    </cfRule>
  </conditionalFormatting>
  <conditionalFormatting sqref="D64">
    <cfRule type="containsText" dxfId="31" priority="49" operator="containsText" text="E">
      <formula>NOT(ISERROR(SEARCH("E",D64)))</formula>
    </cfRule>
  </conditionalFormatting>
  <conditionalFormatting sqref="T10:T12">
    <cfRule type="containsText" dxfId="30" priority="27" operator="containsText" text="PARTI PRESSE">
      <formula>NOT(ISERROR(SEARCH("PARTI PRESSE",T10)))</formula>
    </cfRule>
    <cfRule type="containsText" dxfId="29" priority="28" operator="containsText" text="BANDA STA">
      <formula>NOT(ISERROR(SEARCH("BANDA STA",T10)))</formula>
    </cfRule>
    <cfRule type="containsText" dxfId="28" priority="29" operator="containsText" text="PROFILI ACC">
      <formula>NOT(ISERROR(SEARCH("PROFILI ACC",T10)))</formula>
    </cfRule>
    <cfRule type="containsText" dxfId="27" priority="30" operator="containsText" text="GHISA">
      <formula>NOT(ISERROR(SEARCH("GHISA",T10)))</formula>
    </cfRule>
    <cfRule type="containsText" dxfId="26" priority="31" operator="containsText" text="GHISA">
      <formula>NOT(ISERROR(SEARCH("GHISA",T10)))</formula>
    </cfRule>
    <cfRule type="containsText" dxfId="25" priority="32" operator="containsText" text="GHISA">
      <formula>NOT(ISERROR(SEARCH("GHISA",T10)))</formula>
    </cfRule>
    <cfRule type="containsText" dxfId="24" priority="33" operator="containsText" text="BILLETTE">
      <formula>NOT(ISERROR(SEARCH("BILLETTE",T10)))</formula>
    </cfRule>
    <cfRule type="containsText" dxfId="23" priority="34" operator="containsText" text="BRAMME">
      <formula>NOT(ISERROR(SEARCH("BRAMME",T10)))</formula>
    </cfRule>
    <cfRule type="containsText" dxfId="22" priority="35" operator="containsText" text="TRONCHI">
      <formula>NOT(ISERROR(SEARCH("TRONCHI",T10)))</formula>
    </cfRule>
    <cfRule type="containsText" dxfId="21" priority="36" operator="containsText" text="PALANCOLE">
      <formula>NOT(ISERROR(SEARCH("PALANCOLE",T10)))</formula>
    </cfRule>
    <cfRule type="containsText" dxfId="20" priority="37" operator="containsText" text="TUBI">
      <formula>NOT(ISERROR(SEARCH("TUBI",T10)))</formula>
    </cfRule>
    <cfRule type="containsText" dxfId="19" priority="38" operator="containsText" text="BULBI">
      <formula>NOT(ISERROR(SEARCH("BULBI",T10)))</formula>
    </cfRule>
    <cfRule type="containsText" dxfId="18" priority="39" operator="containsText" text="VERGELLA">
      <formula>NOT(ISERROR(SEARCH("VERGELLA",T10)))</formula>
    </cfRule>
    <cfRule type="containsText" dxfId="17" priority="40" operator="containsText" text="BARRE">
      <formula>NOT(ISERROR(SEARCH("BARRE",T10)))</formula>
    </cfRule>
    <cfRule type="containsText" dxfId="16" priority="41" operator="containsText" text="LAMIERE">
      <formula>NOT(ISERROR(SEARCH("LAMIERE",T10)))</formula>
    </cfRule>
    <cfRule type="containsText" dxfId="15" priority="42" operator="containsText" text="COILS">
      <formula>NOT(ISERROR(SEARCH("COILS",T10)))</formula>
    </cfRule>
  </conditionalFormatting>
  <conditionalFormatting sqref="O2:O201">
    <cfRule type="notContainsBlanks" dxfId="14" priority="26">
      <formula>LEN(TRIM(O2))&gt;0</formula>
    </cfRule>
  </conditionalFormatting>
  <conditionalFormatting sqref="D5">
    <cfRule type="containsText" dxfId="13" priority="25" operator="containsText" text="E">
      <formula>NOT(ISERROR(SEARCH("E",D5)))</formula>
    </cfRule>
  </conditionalFormatting>
  <conditionalFormatting sqref="D6">
    <cfRule type="containsText" dxfId="12" priority="24" operator="containsText" text="E">
      <formula>NOT(ISERROR(SEARCH("E",D6)))</formula>
    </cfRule>
  </conditionalFormatting>
  <conditionalFormatting sqref="N2:N201">
    <cfRule type="containsText" dxfId="11" priority="8" operator="containsText" text="SCRICO">
      <formula>NOT(ISERROR(SEARCH("SCRICO",N2)))</formula>
    </cfRule>
    <cfRule type="containsText" dxfId="10" priority="9" operator="containsText" text="MANCANO ISTRUZIONI">
      <formula>NOT(ISERROR(SEARCH("MANCANO ISTRUZIONI",N2)))</formula>
    </cfRule>
    <cfRule type="containsText" dxfId="9" priority="10" operator="containsText" text="MANCA PRENOTAZIONE">
      <formula>NOT(ISERROR(SEARCH("MANCA PRENOTAZIONE",N2)))</formula>
    </cfRule>
  </conditionalFormatting>
  <conditionalFormatting sqref="N1:N1048576">
    <cfRule type="containsText" dxfId="8" priority="4" operator="containsText" text="S.MARCO">
      <formula>NOT(ISERROR(SEARCH("S.MARCO",N1)))</formula>
    </cfRule>
    <cfRule type="containsText" dxfId="7" priority="7" operator="containsText" text="CAMION AGGIUNTO">
      <formula>NOT(ISERROR(SEARCH("CAMION AGGIUNTO",N1)))</formula>
    </cfRule>
  </conditionalFormatting>
  <conditionalFormatting sqref="H1:H1048576">
    <cfRule type="containsText" dxfId="6" priority="6" operator="containsText" text="CASSE">
      <formula>NOT(ISERROR(SEARCH("CASSE",H1)))</formula>
    </cfRule>
  </conditionalFormatting>
  <conditionalFormatting sqref="AH39:AH57">
    <cfRule type="cellIs" dxfId="5" priority="1" operator="greaterThanOrEqual">
      <formula>10</formula>
    </cfRule>
    <cfRule type="cellIs" dxfId="4" priority="2" operator="between">
      <formula>6</formula>
      <formula>10</formula>
    </cfRule>
    <cfRule type="cellIs" dxfId="3" priority="3" operator="between">
      <formula>1</formula>
      <formula>5</formula>
    </cfRule>
  </conditionalFormatting>
  <dataValidations count="3">
    <dataValidation type="list" allowBlank="1" showInputMessage="1" showErrorMessage="1" sqref="L2:M201" xr:uid="{00000000-0002-0000-0000-000000000000}">
      <formula1>SPUNTATORI</formula1>
    </dataValidation>
    <dataValidation type="list" allowBlank="1" showInputMessage="1" showErrorMessage="1" sqref="T10:T12" xr:uid="{00000000-0002-0000-0000-000001000000}">
      <formula1>"COILS,BARRE,LAMIERE,BLUMI,VERGELLA,BULBI,TUBI,PALANCOLE,TRONCHI,BRAMME,BILLETTE,GHISA,PROFILI ACC,BANDA STA,PARTI PRESSE,"</formula1>
    </dataValidation>
    <dataValidation type="list" errorStyle="information" allowBlank="1" showInputMessage="1" errorTitle="Conferma Selezione" error="La tipologia di merce immessa non corrisponde, proseguo?" promptTitle="Info" prompt="Inserisci la tipologia di merce utilizzando il menù a tendina o scrivendola." sqref="H2:H201" xr:uid="{A32D2329-3864-4104-B319-79F886E71C72}">
      <formula1>_xlfn.ANCHORARRAY($AA$52)</formula1>
    </dataValidation>
  </dataValidations>
  <pageMargins left="0.7" right="0.7" top="0.75" bottom="0.75" header="0.3" footer="0.3"/>
  <pageSetup paperSize="9" orientation="portrait" r:id="rId1"/>
  <ignoredErrors>
    <ignoredError sqref="N5 N2:N4 N53 N17:N52 N54:N63 N64:N201 N11:N16 N6:N10"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Macro1">
                <anchor moveWithCells="1" sizeWithCells="1">
                  <from>
                    <xdr:col>8</xdr:col>
                    <xdr:colOff>9525</xdr:colOff>
                    <xdr:row>0</xdr:row>
                    <xdr:rowOff>0</xdr:rowOff>
                  </from>
                  <to>
                    <xdr:col>11</xdr:col>
                    <xdr:colOff>0</xdr:colOff>
                    <xdr:row>1</xdr:row>
                    <xdr:rowOff>0</xdr:rowOff>
                  </to>
                </anchor>
              </controlPr>
            </control>
          </mc:Choice>
        </mc:AlternateContent>
        <mc:AlternateContent xmlns:mc="http://schemas.openxmlformats.org/markup-compatibility/2006">
          <mc:Choice Requires="x14">
            <control shapeId="1031" r:id="rId5" name="Button 7">
              <controlPr defaultSize="0" print="0" autoFill="0" autoPict="0" macro="[0]!Macro1">
                <anchor moveWithCells="1" sizeWithCells="1">
                  <from>
                    <xdr:col>17</xdr:col>
                    <xdr:colOff>19050</xdr:colOff>
                    <xdr:row>0</xdr:row>
                    <xdr:rowOff>9525</xdr:rowOff>
                  </from>
                  <to>
                    <xdr:col>17</xdr:col>
                    <xdr:colOff>676275</xdr:colOff>
                    <xdr:row>0</xdr:row>
                    <xdr:rowOff>419100</xdr:rowOff>
                  </to>
                </anchor>
              </controlPr>
            </control>
          </mc:Choice>
        </mc:AlternateContent>
        <mc:AlternateContent xmlns:mc="http://schemas.openxmlformats.org/markup-compatibility/2006">
          <mc:Choice Requires="x14">
            <control shapeId="1048" r:id="rId6" name="Button 24">
              <controlPr defaultSize="0" print="0" autoFill="0" autoPict="0" macro="[0]!Pulsante1B_Click">
                <anchor moveWithCells="1" sizeWithCells="1">
                  <from>
                    <xdr:col>16</xdr:col>
                    <xdr:colOff>19050</xdr:colOff>
                    <xdr:row>1</xdr:row>
                    <xdr:rowOff>19050</xdr:rowOff>
                  </from>
                  <to>
                    <xdr:col>16</xdr:col>
                    <xdr:colOff>447675</xdr:colOff>
                    <xdr:row>1</xdr:row>
                    <xdr:rowOff>276225</xdr:rowOff>
                  </to>
                </anchor>
              </controlPr>
            </control>
          </mc:Choice>
        </mc:AlternateContent>
        <mc:AlternateContent xmlns:mc="http://schemas.openxmlformats.org/markup-compatibility/2006">
          <mc:Choice Requires="x14">
            <control shapeId="1051" r:id="rId7" name="Button 27">
              <controlPr defaultSize="0" print="0" autoFill="0" autoPict="0" macro="[0]!Pulsante1_Click">
                <anchor moveWithCells="1" sizeWithCells="1">
                  <from>
                    <xdr:col>0</xdr:col>
                    <xdr:colOff>28575</xdr:colOff>
                    <xdr:row>1</xdr:row>
                    <xdr:rowOff>19050</xdr:rowOff>
                  </from>
                  <to>
                    <xdr:col>0</xdr:col>
                    <xdr:colOff>457200</xdr:colOff>
                    <xdr:row>1</xdr:row>
                    <xdr:rowOff>276225</xdr:rowOff>
                  </to>
                </anchor>
              </controlPr>
            </control>
          </mc:Choice>
        </mc:AlternateContent>
        <mc:AlternateContent xmlns:mc="http://schemas.openxmlformats.org/markup-compatibility/2006">
          <mc:Choice Requires="x14">
            <control shapeId="1054" r:id="rId8" name="Button 30">
              <controlPr defaultSize="0" print="0" autoFill="0" autoPict="0" macro="[0]!Pulsante2_Click">
                <anchor moveWithCells="1" sizeWithCells="1">
                  <from>
                    <xdr:col>0</xdr:col>
                    <xdr:colOff>19050</xdr:colOff>
                    <xdr:row>2</xdr:row>
                    <xdr:rowOff>19050</xdr:rowOff>
                  </from>
                  <to>
                    <xdr:col>0</xdr:col>
                    <xdr:colOff>457200</xdr:colOff>
                    <xdr:row>2</xdr:row>
                    <xdr:rowOff>266700</xdr:rowOff>
                  </to>
                </anchor>
              </controlPr>
            </control>
          </mc:Choice>
        </mc:AlternateContent>
        <mc:AlternateContent xmlns:mc="http://schemas.openxmlformats.org/markup-compatibility/2006">
          <mc:Choice Requires="x14">
            <control shapeId="1055" r:id="rId9" name="Button 31">
              <controlPr defaultSize="0" print="0" autoFill="0" autoPict="0" macro="[0]!Pulsante2B_Click">
                <anchor moveWithCells="1" sizeWithCells="1">
                  <from>
                    <xdr:col>16</xdr:col>
                    <xdr:colOff>19050</xdr:colOff>
                    <xdr:row>2</xdr:row>
                    <xdr:rowOff>19050</xdr:rowOff>
                  </from>
                  <to>
                    <xdr:col>16</xdr:col>
                    <xdr:colOff>457200</xdr:colOff>
                    <xdr:row>2</xdr:row>
                    <xdr:rowOff>266700</xdr:rowOff>
                  </to>
                </anchor>
              </controlPr>
            </control>
          </mc:Choice>
        </mc:AlternateContent>
        <mc:AlternateContent xmlns:mc="http://schemas.openxmlformats.org/markup-compatibility/2006">
          <mc:Choice Requires="x14">
            <control shapeId="1058" r:id="rId10" name="Button 34">
              <controlPr defaultSize="0" print="0" autoFill="0" autoPict="0" macro="[0]!Pulsante3_Click">
                <anchor moveWithCells="1" sizeWithCells="1">
                  <from>
                    <xdr:col>0</xdr:col>
                    <xdr:colOff>28575</xdr:colOff>
                    <xdr:row>3</xdr:row>
                    <xdr:rowOff>28575</xdr:rowOff>
                  </from>
                  <to>
                    <xdr:col>0</xdr:col>
                    <xdr:colOff>457200</xdr:colOff>
                    <xdr:row>3</xdr:row>
                    <xdr:rowOff>276225</xdr:rowOff>
                  </to>
                </anchor>
              </controlPr>
            </control>
          </mc:Choice>
        </mc:AlternateContent>
        <mc:AlternateContent xmlns:mc="http://schemas.openxmlformats.org/markup-compatibility/2006">
          <mc:Choice Requires="x14">
            <control shapeId="1059" r:id="rId11" name="Button 35">
              <controlPr defaultSize="0" print="0" autoFill="0" autoPict="0" macro="[0]!Pulsante3B_Click">
                <anchor moveWithCells="1" sizeWithCells="1">
                  <from>
                    <xdr:col>16</xdr:col>
                    <xdr:colOff>28575</xdr:colOff>
                    <xdr:row>3</xdr:row>
                    <xdr:rowOff>28575</xdr:rowOff>
                  </from>
                  <to>
                    <xdr:col>16</xdr:col>
                    <xdr:colOff>457200</xdr:colOff>
                    <xdr:row>3</xdr:row>
                    <xdr:rowOff>276225</xdr:rowOff>
                  </to>
                </anchor>
              </controlPr>
            </control>
          </mc:Choice>
        </mc:AlternateContent>
        <mc:AlternateContent xmlns:mc="http://schemas.openxmlformats.org/markup-compatibility/2006">
          <mc:Choice Requires="x14">
            <control shapeId="1062" r:id="rId12" name="Button 38">
              <controlPr defaultSize="0" print="0" autoFill="0" autoPict="0" macro="[0]!Pulsante4_Click">
                <anchor moveWithCells="1" sizeWithCells="1">
                  <from>
                    <xdr:col>0</xdr:col>
                    <xdr:colOff>28575</xdr:colOff>
                    <xdr:row>4</xdr:row>
                    <xdr:rowOff>28575</xdr:rowOff>
                  </from>
                  <to>
                    <xdr:col>0</xdr:col>
                    <xdr:colOff>447675</xdr:colOff>
                    <xdr:row>4</xdr:row>
                    <xdr:rowOff>266700</xdr:rowOff>
                  </to>
                </anchor>
              </controlPr>
            </control>
          </mc:Choice>
        </mc:AlternateContent>
        <mc:AlternateContent xmlns:mc="http://schemas.openxmlformats.org/markup-compatibility/2006">
          <mc:Choice Requires="x14">
            <control shapeId="1063" r:id="rId13" name="Button 39">
              <controlPr defaultSize="0" print="0" autoFill="0" autoPict="0" macro="[0]!Pulsante4B_Click">
                <anchor moveWithCells="1" sizeWithCells="1">
                  <from>
                    <xdr:col>16</xdr:col>
                    <xdr:colOff>28575</xdr:colOff>
                    <xdr:row>4</xdr:row>
                    <xdr:rowOff>28575</xdr:rowOff>
                  </from>
                  <to>
                    <xdr:col>16</xdr:col>
                    <xdr:colOff>447675</xdr:colOff>
                    <xdr:row>4</xdr:row>
                    <xdr:rowOff>266700</xdr:rowOff>
                  </to>
                </anchor>
              </controlPr>
            </control>
          </mc:Choice>
        </mc:AlternateContent>
        <mc:AlternateContent xmlns:mc="http://schemas.openxmlformats.org/markup-compatibility/2006">
          <mc:Choice Requires="x14">
            <control shapeId="1064" r:id="rId14" name="Button 40">
              <controlPr defaultSize="0" print="0" autoFill="0" autoPict="0" macro="[0]!Pulsante5_Click">
                <anchor moveWithCells="1" sizeWithCells="1">
                  <from>
                    <xdr:col>0</xdr:col>
                    <xdr:colOff>28575</xdr:colOff>
                    <xdr:row>5</xdr:row>
                    <xdr:rowOff>28575</xdr:rowOff>
                  </from>
                  <to>
                    <xdr:col>0</xdr:col>
                    <xdr:colOff>447675</xdr:colOff>
                    <xdr:row>5</xdr:row>
                    <xdr:rowOff>266700</xdr:rowOff>
                  </to>
                </anchor>
              </controlPr>
            </control>
          </mc:Choice>
        </mc:AlternateContent>
        <mc:AlternateContent xmlns:mc="http://schemas.openxmlformats.org/markup-compatibility/2006">
          <mc:Choice Requires="x14">
            <control shapeId="1066" r:id="rId15" name="Button 42">
              <controlPr defaultSize="0" print="0" autoFill="0" autoPict="0" macro="[0]!Pulsante5B_Click">
                <anchor moveWithCells="1" sizeWithCells="1">
                  <from>
                    <xdr:col>16</xdr:col>
                    <xdr:colOff>28575</xdr:colOff>
                    <xdr:row>5</xdr:row>
                    <xdr:rowOff>28575</xdr:rowOff>
                  </from>
                  <to>
                    <xdr:col>16</xdr:col>
                    <xdr:colOff>447675</xdr:colOff>
                    <xdr:row>5</xdr:row>
                    <xdr:rowOff>266700</xdr:rowOff>
                  </to>
                </anchor>
              </controlPr>
            </control>
          </mc:Choice>
        </mc:AlternateContent>
        <mc:AlternateContent xmlns:mc="http://schemas.openxmlformats.org/markup-compatibility/2006">
          <mc:Choice Requires="x14">
            <control shapeId="1067" r:id="rId16" name="Button 43">
              <controlPr defaultSize="0" print="0" autoFill="0" autoPict="0" macro="[0]!Pulsante6_Click">
                <anchor moveWithCells="1" sizeWithCells="1">
                  <from>
                    <xdr:col>0</xdr:col>
                    <xdr:colOff>28575</xdr:colOff>
                    <xdr:row>6</xdr:row>
                    <xdr:rowOff>38100</xdr:rowOff>
                  </from>
                  <to>
                    <xdr:col>0</xdr:col>
                    <xdr:colOff>447675</xdr:colOff>
                    <xdr:row>6</xdr:row>
                    <xdr:rowOff>266700</xdr:rowOff>
                  </to>
                </anchor>
              </controlPr>
            </control>
          </mc:Choice>
        </mc:AlternateContent>
        <mc:AlternateContent xmlns:mc="http://schemas.openxmlformats.org/markup-compatibility/2006">
          <mc:Choice Requires="x14">
            <control shapeId="1068" r:id="rId17" name="Button 44">
              <controlPr defaultSize="0" print="0" autoFill="0" autoPict="0" macro="[0]!Pulsante6B_Click">
                <anchor moveWithCells="1" sizeWithCells="1">
                  <from>
                    <xdr:col>16</xdr:col>
                    <xdr:colOff>28575</xdr:colOff>
                    <xdr:row>6</xdr:row>
                    <xdr:rowOff>38100</xdr:rowOff>
                  </from>
                  <to>
                    <xdr:col>16</xdr:col>
                    <xdr:colOff>447675</xdr:colOff>
                    <xdr:row>6</xdr:row>
                    <xdr:rowOff>266700</xdr:rowOff>
                  </to>
                </anchor>
              </controlPr>
            </control>
          </mc:Choice>
        </mc:AlternateContent>
        <mc:AlternateContent xmlns:mc="http://schemas.openxmlformats.org/markup-compatibility/2006">
          <mc:Choice Requires="x14">
            <control shapeId="1069" r:id="rId18" name="Button 45">
              <controlPr defaultSize="0" print="0" autoFill="0" autoPict="0" macro="[0]!Pulsante7_Click">
                <anchor moveWithCells="1" sizeWithCells="1">
                  <from>
                    <xdr:col>0</xdr:col>
                    <xdr:colOff>28575</xdr:colOff>
                    <xdr:row>7</xdr:row>
                    <xdr:rowOff>19050</xdr:rowOff>
                  </from>
                  <to>
                    <xdr:col>0</xdr:col>
                    <xdr:colOff>447675</xdr:colOff>
                    <xdr:row>7</xdr:row>
                    <xdr:rowOff>266700</xdr:rowOff>
                  </to>
                </anchor>
              </controlPr>
            </control>
          </mc:Choice>
        </mc:AlternateContent>
        <mc:AlternateContent xmlns:mc="http://schemas.openxmlformats.org/markup-compatibility/2006">
          <mc:Choice Requires="x14">
            <control shapeId="1072" r:id="rId19" name="Button 48">
              <controlPr defaultSize="0" print="0" autoFill="0" autoPict="0" macro="[0]!Pulsante8_Click">
                <anchor moveWithCells="1" sizeWithCells="1">
                  <from>
                    <xdr:col>0</xdr:col>
                    <xdr:colOff>28575</xdr:colOff>
                    <xdr:row>8</xdr:row>
                    <xdr:rowOff>19050</xdr:rowOff>
                  </from>
                  <to>
                    <xdr:col>0</xdr:col>
                    <xdr:colOff>447675</xdr:colOff>
                    <xdr:row>8</xdr:row>
                    <xdr:rowOff>266700</xdr:rowOff>
                  </to>
                </anchor>
              </controlPr>
            </control>
          </mc:Choice>
        </mc:AlternateContent>
        <mc:AlternateContent xmlns:mc="http://schemas.openxmlformats.org/markup-compatibility/2006">
          <mc:Choice Requires="x14">
            <control shapeId="1074" r:id="rId20" name="Button 50">
              <controlPr defaultSize="0" print="0" autoFill="0" autoPict="0" macro="[0]!Pulsante30_Click">
                <anchor moveWithCells="1" sizeWithCells="1">
                  <from>
                    <xdr:col>0</xdr:col>
                    <xdr:colOff>28575</xdr:colOff>
                    <xdr:row>9</xdr:row>
                    <xdr:rowOff>19050</xdr:rowOff>
                  </from>
                  <to>
                    <xdr:col>0</xdr:col>
                    <xdr:colOff>447675</xdr:colOff>
                    <xdr:row>9</xdr:row>
                    <xdr:rowOff>266700</xdr:rowOff>
                  </to>
                </anchor>
              </controlPr>
            </control>
          </mc:Choice>
        </mc:AlternateContent>
        <mc:AlternateContent xmlns:mc="http://schemas.openxmlformats.org/markup-compatibility/2006">
          <mc:Choice Requires="x14">
            <control shapeId="1075" r:id="rId21" name="Button 51">
              <controlPr defaultSize="0" print="0" autoFill="0" autoPict="0" macro="[0]!Pulsante9_Click">
                <anchor moveWithCells="1" sizeWithCells="1">
                  <from>
                    <xdr:col>0</xdr:col>
                    <xdr:colOff>28575</xdr:colOff>
                    <xdr:row>9</xdr:row>
                    <xdr:rowOff>19050</xdr:rowOff>
                  </from>
                  <to>
                    <xdr:col>0</xdr:col>
                    <xdr:colOff>447675</xdr:colOff>
                    <xdr:row>9</xdr:row>
                    <xdr:rowOff>266700</xdr:rowOff>
                  </to>
                </anchor>
              </controlPr>
            </control>
          </mc:Choice>
        </mc:AlternateContent>
        <mc:AlternateContent xmlns:mc="http://schemas.openxmlformats.org/markup-compatibility/2006">
          <mc:Choice Requires="x14">
            <control shapeId="1076" r:id="rId22" name="Button 52">
              <controlPr defaultSize="0" print="0" autoFill="0" autoPict="0" macro="[0]!Pulsante10_Click">
                <anchor moveWithCells="1" sizeWithCells="1">
                  <from>
                    <xdr:col>0</xdr:col>
                    <xdr:colOff>28575</xdr:colOff>
                    <xdr:row>10</xdr:row>
                    <xdr:rowOff>19050</xdr:rowOff>
                  </from>
                  <to>
                    <xdr:col>0</xdr:col>
                    <xdr:colOff>447675</xdr:colOff>
                    <xdr:row>10</xdr:row>
                    <xdr:rowOff>266700</xdr:rowOff>
                  </to>
                </anchor>
              </controlPr>
            </control>
          </mc:Choice>
        </mc:AlternateContent>
        <mc:AlternateContent xmlns:mc="http://schemas.openxmlformats.org/markup-compatibility/2006">
          <mc:Choice Requires="x14">
            <control shapeId="1077" r:id="rId23" name="Button 53">
              <controlPr defaultSize="0" print="0" autoFill="0" autoPict="0" macro="[0]!Pulsante11_Click">
                <anchor moveWithCells="1" sizeWithCells="1">
                  <from>
                    <xdr:col>0</xdr:col>
                    <xdr:colOff>28575</xdr:colOff>
                    <xdr:row>11</xdr:row>
                    <xdr:rowOff>19050</xdr:rowOff>
                  </from>
                  <to>
                    <xdr:col>0</xdr:col>
                    <xdr:colOff>447675</xdr:colOff>
                    <xdr:row>11</xdr:row>
                    <xdr:rowOff>266700</xdr:rowOff>
                  </to>
                </anchor>
              </controlPr>
            </control>
          </mc:Choice>
        </mc:AlternateContent>
        <mc:AlternateContent xmlns:mc="http://schemas.openxmlformats.org/markup-compatibility/2006">
          <mc:Choice Requires="x14">
            <control shapeId="1078" r:id="rId24" name="Button 54">
              <controlPr defaultSize="0" print="0" autoFill="0" autoPict="0" macro="[0]!Pulsante12_Click">
                <anchor moveWithCells="1" sizeWithCells="1">
                  <from>
                    <xdr:col>0</xdr:col>
                    <xdr:colOff>28575</xdr:colOff>
                    <xdr:row>12</xdr:row>
                    <xdr:rowOff>19050</xdr:rowOff>
                  </from>
                  <to>
                    <xdr:col>0</xdr:col>
                    <xdr:colOff>447675</xdr:colOff>
                    <xdr:row>12</xdr:row>
                    <xdr:rowOff>266700</xdr:rowOff>
                  </to>
                </anchor>
              </controlPr>
            </control>
          </mc:Choice>
        </mc:AlternateContent>
        <mc:AlternateContent xmlns:mc="http://schemas.openxmlformats.org/markup-compatibility/2006">
          <mc:Choice Requires="x14">
            <control shapeId="1079" r:id="rId25" name="Button 55">
              <controlPr defaultSize="0" print="0" autoFill="0" autoPict="0" macro="[0]!Pulsante13_Click">
                <anchor moveWithCells="1" sizeWithCells="1">
                  <from>
                    <xdr:col>0</xdr:col>
                    <xdr:colOff>28575</xdr:colOff>
                    <xdr:row>13</xdr:row>
                    <xdr:rowOff>19050</xdr:rowOff>
                  </from>
                  <to>
                    <xdr:col>0</xdr:col>
                    <xdr:colOff>447675</xdr:colOff>
                    <xdr:row>13</xdr:row>
                    <xdr:rowOff>266700</xdr:rowOff>
                  </to>
                </anchor>
              </controlPr>
            </control>
          </mc:Choice>
        </mc:AlternateContent>
        <mc:AlternateContent xmlns:mc="http://schemas.openxmlformats.org/markup-compatibility/2006">
          <mc:Choice Requires="x14">
            <control shapeId="1080" r:id="rId26" name="Button 56">
              <controlPr defaultSize="0" print="0" autoFill="0" autoPict="0" macro="[0]!Pulsante14_Click">
                <anchor moveWithCells="1" sizeWithCells="1">
                  <from>
                    <xdr:col>0</xdr:col>
                    <xdr:colOff>28575</xdr:colOff>
                    <xdr:row>14</xdr:row>
                    <xdr:rowOff>19050</xdr:rowOff>
                  </from>
                  <to>
                    <xdr:col>0</xdr:col>
                    <xdr:colOff>447675</xdr:colOff>
                    <xdr:row>14</xdr:row>
                    <xdr:rowOff>266700</xdr:rowOff>
                  </to>
                </anchor>
              </controlPr>
            </control>
          </mc:Choice>
        </mc:AlternateContent>
        <mc:AlternateContent xmlns:mc="http://schemas.openxmlformats.org/markup-compatibility/2006">
          <mc:Choice Requires="x14">
            <control shapeId="1081" r:id="rId27" name="Button 57">
              <controlPr defaultSize="0" print="0" autoFill="0" autoPict="0" macro="[0]!Pulsante15_Click">
                <anchor moveWithCells="1" sizeWithCells="1">
                  <from>
                    <xdr:col>0</xdr:col>
                    <xdr:colOff>28575</xdr:colOff>
                    <xdr:row>15</xdr:row>
                    <xdr:rowOff>19050</xdr:rowOff>
                  </from>
                  <to>
                    <xdr:col>0</xdr:col>
                    <xdr:colOff>447675</xdr:colOff>
                    <xdr:row>15</xdr:row>
                    <xdr:rowOff>266700</xdr:rowOff>
                  </to>
                </anchor>
              </controlPr>
            </control>
          </mc:Choice>
        </mc:AlternateContent>
        <mc:AlternateContent xmlns:mc="http://schemas.openxmlformats.org/markup-compatibility/2006">
          <mc:Choice Requires="x14">
            <control shapeId="1082" r:id="rId28" name="Button 58">
              <controlPr defaultSize="0" print="0" autoFill="0" autoPict="0" macro="[0]!Pulsante16_Click">
                <anchor moveWithCells="1" sizeWithCells="1">
                  <from>
                    <xdr:col>0</xdr:col>
                    <xdr:colOff>28575</xdr:colOff>
                    <xdr:row>16</xdr:row>
                    <xdr:rowOff>19050</xdr:rowOff>
                  </from>
                  <to>
                    <xdr:col>0</xdr:col>
                    <xdr:colOff>447675</xdr:colOff>
                    <xdr:row>16</xdr:row>
                    <xdr:rowOff>266700</xdr:rowOff>
                  </to>
                </anchor>
              </controlPr>
            </control>
          </mc:Choice>
        </mc:AlternateContent>
        <mc:AlternateContent xmlns:mc="http://schemas.openxmlformats.org/markup-compatibility/2006">
          <mc:Choice Requires="x14">
            <control shapeId="1083" r:id="rId29" name="Button 59">
              <controlPr defaultSize="0" print="0" autoFill="0" autoPict="0" macro="[0]!Pulsante17_Click">
                <anchor moveWithCells="1" sizeWithCells="1">
                  <from>
                    <xdr:col>0</xdr:col>
                    <xdr:colOff>28575</xdr:colOff>
                    <xdr:row>17</xdr:row>
                    <xdr:rowOff>19050</xdr:rowOff>
                  </from>
                  <to>
                    <xdr:col>0</xdr:col>
                    <xdr:colOff>447675</xdr:colOff>
                    <xdr:row>17</xdr:row>
                    <xdr:rowOff>266700</xdr:rowOff>
                  </to>
                </anchor>
              </controlPr>
            </control>
          </mc:Choice>
        </mc:AlternateContent>
        <mc:AlternateContent xmlns:mc="http://schemas.openxmlformats.org/markup-compatibility/2006">
          <mc:Choice Requires="x14">
            <control shapeId="1084" r:id="rId30" name="Button 60">
              <controlPr defaultSize="0" print="0" autoFill="0" autoPict="0" macro="[0]!Pulsante18_Click">
                <anchor moveWithCells="1" sizeWithCells="1">
                  <from>
                    <xdr:col>0</xdr:col>
                    <xdr:colOff>28575</xdr:colOff>
                    <xdr:row>18</xdr:row>
                    <xdr:rowOff>19050</xdr:rowOff>
                  </from>
                  <to>
                    <xdr:col>0</xdr:col>
                    <xdr:colOff>447675</xdr:colOff>
                    <xdr:row>18</xdr:row>
                    <xdr:rowOff>266700</xdr:rowOff>
                  </to>
                </anchor>
              </controlPr>
            </control>
          </mc:Choice>
        </mc:AlternateContent>
        <mc:AlternateContent xmlns:mc="http://schemas.openxmlformats.org/markup-compatibility/2006">
          <mc:Choice Requires="x14">
            <control shapeId="1085" r:id="rId31" name="Button 61">
              <controlPr defaultSize="0" print="0" autoFill="0" autoPict="0" macro="[0]!Pulsante19_Click">
                <anchor moveWithCells="1" sizeWithCells="1">
                  <from>
                    <xdr:col>0</xdr:col>
                    <xdr:colOff>28575</xdr:colOff>
                    <xdr:row>19</xdr:row>
                    <xdr:rowOff>19050</xdr:rowOff>
                  </from>
                  <to>
                    <xdr:col>0</xdr:col>
                    <xdr:colOff>447675</xdr:colOff>
                    <xdr:row>19</xdr:row>
                    <xdr:rowOff>266700</xdr:rowOff>
                  </to>
                </anchor>
              </controlPr>
            </control>
          </mc:Choice>
        </mc:AlternateContent>
        <mc:AlternateContent xmlns:mc="http://schemas.openxmlformats.org/markup-compatibility/2006">
          <mc:Choice Requires="x14">
            <control shapeId="1086" r:id="rId32" name="Button 62">
              <controlPr defaultSize="0" print="0" autoFill="0" autoPict="0" macro="[0]!Pulsante20_Click">
                <anchor moveWithCells="1" sizeWithCells="1">
                  <from>
                    <xdr:col>0</xdr:col>
                    <xdr:colOff>28575</xdr:colOff>
                    <xdr:row>20</xdr:row>
                    <xdr:rowOff>19050</xdr:rowOff>
                  </from>
                  <to>
                    <xdr:col>0</xdr:col>
                    <xdr:colOff>447675</xdr:colOff>
                    <xdr:row>20</xdr:row>
                    <xdr:rowOff>266700</xdr:rowOff>
                  </to>
                </anchor>
              </controlPr>
            </control>
          </mc:Choice>
        </mc:AlternateContent>
        <mc:AlternateContent xmlns:mc="http://schemas.openxmlformats.org/markup-compatibility/2006">
          <mc:Choice Requires="x14">
            <control shapeId="1087" r:id="rId33" name="Button 63">
              <controlPr defaultSize="0" print="0" autoFill="0" autoPict="0" macro="[0]!Pulsante21_Click">
                <anchor moveWithCells="1" sizeWithCells="1">
                  <from>
                    <xdr:col>0</xdr:col>
                    <xdr:colOff>28575</xdr:colOff>
                    <xdr:row>21</xdr:row>
                    <xdr:rowOff>19050</xdr:rowOff>
                  </from>
                  <to>
                    <xdr:col>0</xdr:col>
                    <xdr:colOff>447675</xdr:colOff>
                    <xdr:row>21</xdr:row>
                    <xdr:rowOff>266700</xdr:rowOff>
                  </to>
                </anchor>
              </controlPr>
            </control>
          </mc:Choice>
        </mc:AlternateContent>
        <mc:AlternateContent xmlns:mc="http://schemas.openxmlformats.org/markup-compatibility/2006">
          <mc:Choice Requires="x14">
            <control shapeId="1088" r:id="rId34" name="Button 64">
              <controlPr defaultSize="0" print="0" autoFill="0" autoPict="0" macro="[0]!Pulsante22_Click">
                <anchor moveWithCells="1" sizeWithCells="1">
                  <from>
                    <xdr:col>0</xdr:col>
                    <xdr:colOff>28575</xdr:colOff>
                    <xdr:row>22</xdr:row>
                    <xdr:rowOff>19050</xdr:rowOff>
                  </from>
                  <to>
                    <xdr:col>0</xdr:col>
                    <xdr:colOff>447675</xdr:colOff>
                    <xdr:row>22</xdr:row>
                    <xdr:rowOff>266700</xdr:rowOff>
                  </to>
                </anchor>
              </controlPr>
            </control>
          </mc:Choice>
        </mc:AlternateContent>
        <mc:AlternateContent xmlns:mc="http://schemas.openxmlformats.org/markup-compatibility/2006">
          <mc:Choice Requires="x14">
            <control shapeId="1089" r:id="rId35" name="Button 65">
              <controlPr defaultSize="0" print="0" autoFill="0" autoPict="0" macro="[0]!Pulsante24_Click">
                <anchor moveWithCells="1" sizeWithCells="1">
                  <from>
                    <xdr:col>0</xdr:col>
                    <xdr:colOff>28575</xdr:colOff>
                    <xdr:row>23</xdr:row>
                    <xdr:rowOff>19050</xdr:rowOff>
                  </from>
                  <to>
                    <xdr:col>0</xdr:col>
                    <xdr:colOff>447675</xdr:colOff>
                    <xdr:row>23</xdr:row>
                    <xdr:rowOff>266700</xdr:rowOff>
                  </to>
                </anchor>
              </controlPr>
            </control>
          </mc:Choice>
        </mc:AlternateContent>
        <mc:AlternateContent xmlns:mc="http://schemas.openxmlformats.org/markup-compatibility/2006">
          <mc:Choice Requires="x14">
            <control shapeId="1090" r:id="rId36" name="Button 66">
              <controlPr defaultSize="0" print="0" autoFill="0" autoPict="0" macro="[0]!Pulsante24_Click">
                <anchor moveWithCells="1" sizeWithCells="1">
                  <from>
                    <xdr:col>0</xdr:col>
                    <xdr:colOff>28575</xdr:colOff>
                    <xdr:row>24</xdr:row>
                    <xdr:rowOff>19050</xdr:rowOff>
                  </from>
                  <to>
                    <xdr:col>0</xdr:col>
                    <xdr:colOff>447675</xdr:colOff>
                    <xdr:row>24</xdr:row>
                    <xdr:rowOff>266700</xdr:rowOff>
                  </to>
                </anchor>
              </controlPr>
            </control>
          </mc:Choice>
        </mc:AlternateContent>
        <mc:AlternateContent xmlns:mc="http://schemas.openxmlformats.org/markup-compatibility/2006">
          <mc:Choice Requires="x14">
            <control shapeId="1091" r:id="rId37" name="Button 67">
              <controlPr defaultSize="0" print="0" autoFill="0" autoPict="0" macro="[0]!Pulsante25_Click">
                <anchor moveWithCells="1" sizeWithCells="1">
                  <from>
                    <xdr:col>0</xdr:col>
                    <xdr:colOff>28575</xdr:colOff>
                    <xdr:row>25</xdr:row>
                    <xdr:rowOff>19050</xdr:rowOff>
                  </from>
                  <to>
                    <xdr:col>0</xdr:col>
                    <xdr:colOff>447675</xdr:colOff>
                    <xdr:row>25</xdr:row>
                    <xdr:rowOff>266700</xdr:rowOff>
                  </to>
                </anchor>
              </controlPr>
            </control>
          </mc:Choice>
        </mc:AlternateContent>
        <mc:AlternateContent xmlns:mc="http://schemas.openxmlformats.org/markup-compatibility/2006">
          <mc:Choice Requires="x14">
            <control shapeId="1093" r:id="rId38" name="Button 69">
              <controlPr defaultSize="0" print="0" autoFill="0" autoPict="0" macro="[0]!Pulsante27_Click">
                <anchor moveWithCells="1" sizeWithCells="1">
                  <from>
                    <xdr:col>0</xdr:col>
                    <xdr:colOff>28575</xdr:colOff>
                    <xdr:row>27</xdr:row>
                    <xdr:rowOff>19050</xdr:rowOff>
                  </from>
                  <to>
                    <xdr:col>0</xdr:col>
                    <xdr:colOff>447675</xdr:colOff>
                    <xdr:row>27</xdr:row>
                    <xdr:rowOff>266700</xdr:rowOff>
                  </to>
                </anchor>
              </controlPr>
            </control>
          </mc:Choice>
        </mc:AlternateContent>
        <mc:AlternateContent xmlns:mc="http://schemas.openxmlformats.org/markup-compatibility/2006">
          <mc:Choice Requires="x14">
            <control shapeId="1094" r:id="rId39" name="Button 70">
              <controlPr defaultSize="0" print="0" autoFill="0" autoPict="0" macro="[0]!Pulsante28_Click">
                <anchor moveWithCells="1" sizeWithCells="1">
                  <from>
                    <xdr:col>0</xdr:col>
                    <xdr:colOff>28575</xdr:colOff>
                    <xdr:row>28</xdr:row>
                    <xdr:rowOff>19050</xdr:rowOff>
                  </from>
                  <to>
                    <xdr:col>0</xdr:col>
                    <xdr:colOff>447675</xdr:colOff>
                    <xdr:row>28</xdr:row>
                    <xdr:rowOff>266700</xdr:rowOff>
                  </to>
                </anchor>
              </controlPr>
            </control>
          </mc:Choice>
        </mc:AlternateContent>
        <mc:AlternateContent xmlns:mc="http://schemas.openxmlformats.org/markup-compatibility/2006">
          <mc:Choice Requires="x14">
            <control shapeId="1095" r:id="rId40" name="Button 71">
              <controlPr defaultSize="0" print="0" autoFill="0" autoPict="0" macro="[0]!Pulsante29_Click">
                <anchor moveWithCells="1" sizeWithCells="1">
                  <from>
                    <xdr:col>0</xdr:col>
                    <xdr:colOff>28575</xdr:colOff>
                    <xdr:row>29</xdr:row>
                    <xdr:rowOff>19050</xdr:rowOff>
                  </from>
                  <to>
                    <xdr:col>0</xdr:col>
                    <xdr:colOff>447675</xdr:colOff>
                    <xdr:row>29</xdr:row>
                    <xdr:rowOff>266700</xdr:rowOff>
                  </to>
                </anchor>
              </controlPr>
            </control>
          </mc:Choice>
        </mc:AlternateContent>
        <mc:AlternateContent xmlns:mc="http://schemas.openxmlformats.org/markup-compatibility/2006">
          <mc:Choice Requires="x14">
            <control shapeId="1096" r:id="rId41" name="Button 72">
              <controlPr defaultSize="0" print="0" autoFill="0" autoPict="0" macro="[0]!Pulsante30_Click">
                <anchor moveWithCells="1" sizeWithCells="1">
                  <from>
                    <xdr:col>0</xdr:col>
                    <xdr:colOff>28575</xdr:colOff>
                    <xdr:row>30</xdr:row>
                    <xdr:rowOff>19050</xdr:rowOff>
                  </from>
                  <to>
                    <xdr:col>0</xdr:col>
                    <xdr:colOff>447675</xdr:colOff>
                    <xdr:row>30</xdr:row>
                    <xdr:rowOff>266700</xdr:rowOff>
                  </to>
                </anchor>
              </controlPr>
            </control>
          </mc:Choice>
        </mc:AlternateContent>
        <mc:AlternateContent xmlns:mc="http://schemas.openxmlformats.org/markup-compatibility/2006">
          <mc:Choice Requires="x14">
            <control shapeId="1097" r:id="rId42" name="Button 73">
              <controlPr defaultSize="0" print="0" autoFill="0" autoPict="0" macro="[0]!Pulsante31_Click">
                <anchor moveWithCells="1" sizeWithCells="1">
                  <from>
                    <xdr:col>0</xdr:col>
                    <xdr:colOff>28575</xdr:colOff>
                    <xdr:row>31</xdr:row>
                    <xdr:rowOff>19050</xdr:rowOff>
                  </from>
                  <to>
                    <xdr:col>0</xdr:col>
                    <xdr:colOff>447675</xdr:colOff>
                    <xdr:row>31</xdr:row>
                    <xdr:rowOff>266700</xdr:rowOff>
                  </to>
                </anchor>
              </controlPr>
            </control>
          </mc:Choice>
        </mc:AlternateContent>
        <mc:AlternateContent xmlns:mc="http://schemas.openxmlformats.org/markup-compatibility/2006">
          <mc:Choice Requires="x14">
            <control shapeId="1098" r:id="rId43" name="Button 74">
              <controlPr defaultSize="0" print="0" autoFill="0" autoPict="0" macro="[0]!Pulsante32_Click">
                <anchor moveWithCells="1" sizeWithCells="1">
                  <from>
                    <xdr:col>0</xdr:col>
                    <xdr:colOff>28575</xdr:colOff>
                    <xdr:row>32</xdr:row>
                    <xdr:rowOff>19050</xdr:rowOff>
                  </from>
                  <to>
                    <xdr:col>0</xdr:col>
                    <xdr:colOff>447675</xdr:colOff>
                    <xdr:row>32</xdr:row>
                    <xdr:rowOff>266700</xdr:rowOff>
                  </to>
                </anchor>
              </controlPr>
            </control>
          </mc:Choice>
        </mc:AlternateContent>
        <mc:AlternateContent xmlns:mc="http://schemas.openxmlformats.org/markup-compatibility/2006">
          <mc:Choice Requires="x14">
            <control shapeId="1099" r:id="rId44" name="Button 75">
              <controlPr defaultSize="0" print="0" autoFill="0" autoPict="0" macro="[0]!Pulsante33_Click">
                <anchor moveWithCells="1" sizeWithCells="1">
                  <from>
                    <xdr:col>0</xdr:col>
                    <xdr:colOff>28575</xdr:colOff>
                    <xdr:row>33</xdr:row>
                    <xdr:rowOff>19050</xdr:rowOff>
                  </from>
                  <to>
                    <xdr:col>0</xdr:col>
                    <xdr:colOff>447675</xdr:colOff>
                    <xdr:row>33</xdr:row>
                    <xdr:rowOff>266700</xdr:rowOff>
                  </to>
                </anchor>
              </controlPr>
            </control>
          </mc:Choice>
        </mc:AlternateContent>
        <mc:AlternateContent xmlns:mc="http://schemas.openxmlformats.org/markup-compatibility/2006">
          <mc:Choice Requires="x14">
            <control shapeId="1100" r:id="rId45" name="Button 76">
              <controlPr defaultSize="0" print="0" autoFill="0" autoPict="0" macro="[0]!Pulsante34_Click">
                <anchor moveWithCells="1" sizeWithCells="1">
                  <from>
                    <xdr:col>0</xdr:col>
                    <xdr:colOff>28575</xdr:colOff>
                    <xdr:row>34</xdr:row>
                    <xdr:rowOff>19050</xdr:rowOff>
                  </from>
                  <to>
                    <xdr:col>0</xdr:col>
                    <xdr:colOff>447675</xdr:colOff>
                    <xdr:row>34</xdr:row>
                    <xdr:rowOff>266700</xdr:rowOff>
                  </to>
                </anchor>
              </controlPr>
            </control>
          </mc:Choice>
        </mc:AlternateContent>
        <mc:AlternateContent xmlns:mc="http://schemas.openxmlformats.org/markup-compatibility/2006">
          <mc:Choice Requires="x14">
            <control shapeId="1101" r:id="rId46" name="Button 77">
              <controlPr defaultSize="0" print="0" autoFill="0" autoPict="0" macro="[0]!Pulsante35_Click">
                <anchor moveWithCells="1" sizeWithCells="1">
                  <from>
                    <xdr:col>0</xdr:col>
                    <xdr:colOff>28575</xdr:colOff>
                    <xdr:row>35</xdr:row>
                    <xdr:rowOff>19050</xdr:rowOff>
                  </from>
                  <to>
                    <xdr:col>0</xdr:col>
                    <xdr:colOff>447675</xdr:colOff>
                    <xdr:row>35</xdr:row>
                    <xdr:rowOff>266700</xdr:rowOff>
                  </to>
                </anchor>
              </controlPr>
            </control>
          </mc:Choice>
        </mc:AlternateContent>
        <mc:AlternateContent xmlns:mc="http://schemas.openxmlformats.org/markup-compatibility/2006">
          <mc:Choice Requires="x14">
            <control shapeId="1102" r:id="rId47" name="Button 78">
              <controlPr defaultSize="0" print="0" autoFill="0" autoPict="0" macro="[0]!Pulsante36_Click">
                <anchor moveWithCells="1" sizeWithCells="1">
                  <from>
                    <xdr:col>0</xdr:col>
                    <xdr:colOff>28575</xdr:colOff>
                    <xdr:row>36</xdr:row>
                    <xdr:rowOff>19050</xdr:rowOff>
                  </from>
                  <to>
                    <xdr:col>0</xdr:col>
                    <xdr:colOff>447675</xdr:colOff>
                    <xdr:row>36</xdr:row>
                    <xdr:rowOff>266700</xdr:rowOff>
                  </to>
                </anchor>
              </controlPr>
            </control>
          </mc:Choice>
        </mc:AlternateContent>
        <mc:AlternateContent xmlns:mc="http://schemas.openxmlformats.org/markup-compatibility/2006">
          <mc:Choice Requires="x14">
            <control shapeId="1103" r:id="rId48" name="Button 79">
              <controlPr defaultSize="0" print="0" autoFill="0" autoPict="0" macro="[0]!Pulsante37_Click">
                <anchor moveWithCells="1" sizeWithCells="1">
                  <from>
                    <xdr:col>0</xdr:col>
                    <xdr:colOff>28575</xdr:colOff>
                    <xdr:row>37</xdr:row>
                    <xdr:rowOff>19050</xdr:rowOff>
                  </from>
                  <to>
                    <xdr:col>0</xdr:col>
                    <xdr:colOff>447675</xdr:colOff>
                    <xdr:row>37</xdr:row>
                    <xdr:rowOff>266700</xdr:rowOff>
                  </to>
                </anchor>
              </controlPr>
            </control>
          </mc:Choice>
        </mc:AlternateContent>
        <mc:AlternateContent xmlns:mc="http://schemas.openxmlformats.org/markup-compatibility/2006">
          <mc:Choice Requires="x14">
            <control shapeId="1104" r:id="rId49" name="Button 80">
              <controlPr defaultSize="0" print="0" autoFill="0" autoPict="0" macro="[0]!Pulsante38_Click">
                <anchor moveWithCells="1" sizeWithCells="1">
                  <from>
                    <xdr:col>0</xdr:col>
                    <xdr:colOff>28575</xdr:colOff>
                    <xdr:row>38</xdr:row>
                    <xdr:rowOff>19050</xdr:rowOff>
                  </from>
                  <to>
                    <xdr:col>0</xdr:col>
                    <xdr:colOff>447675</xdr:colOff>
                    <xdr:row>38</xdr:row>
                    <xdr:rowOff>266700</xdr:rowOff>
                  </to>
                </anchor>
              </controlPr>
            </control>
          </mc:Choice>
        </mc:AlternateContent>
        <mc:AlternateContent xmlns:mc="http://schemas.openxmlformats.org/markup-compatibility/2006">
          <mc:Choice Requires="x14">
            <control shapeId="1105" r:id="rId50" name="Button 81">
              <controlPr defaultSize="0" print="0" autoFill="0" autoPict="0" macro="[0]!Pulsante39_Click">
                <anchor moveWithCells="1" sizeWithCells="1">
                  <from>
                    <xdr:col>0</xdr:col>
                    <xdr:colOff>28575</xdr:colOff>
                    <xdr:row>39</xdr:row>
                    <xdr:rowOff>19050</xdr:rowOff>
                  </from>
                  <to>
                    <xdr:col>0</xdr:col>
                    <xdr:colOff>447675</xdr:colOff>
                    <xdr:row>39</xdr:row>
                    <xdr:rowOff>266700</xdr:rowOff>
                  </to>
                </anchor>
              </controlPr>
            </control>
          </mc:Choice>
        </mc:AlternateContent>
        <mc:AlternateContent xmlns:mc="http://schemas.openxmlformats.org/markup-compatibility/2006">
          <mc:Choice Requires="x14">
            <control shapeId="1106" r:id="rId51" name="Button 82">
              <controlPr defaultSize="0" print="0" autoFill="0" autoPict="0" macro="[0]!Pulsante40_Click">
                <anchor moveWithCells="1" sizeWithCells="1">
                  <from>
                    <xdr:col>0</xdr:col>
                    <xdr:colOff>28575</xdr:colOff>
                    <xdr:row>40</xdr:row>
                    <xdr:rowOff>19050</xdr:rowOff>
                  </from>
                  <to>
                    <xdr:col>0</xdr:col>
                    <xdr:colOff>447675</xdr:colOff>
                    <xdr:row>40</xdr:row>
                    <xdr:rowOff>266700</xdr:rowOff>
                  </to>
                </anchor>
              </controlPr>
            </control>
          </mc:Choice>
        </mc:AlternateContent>
        <mc:AlternateContent xmlns:mc="http://schemas.openxmlformats.org/markup-compatibility/2006">
          <mc:Choice Requires="x14">
            <control shapeId="1107" r:id="rId52" name="Button 83">
              <controlPr defaultSize="0" print="0" autoFill="0" autoPict="0" macro="[0]!Pulsante41_Click">
                <anchor moveWithCells="1" sizeWithCells="1">
                  <from>
                    <xdr:col>0</xdr:col>
                    <xdr:colOff>28575</xdr:colOff>
                    <xdr:row>41</xdr:row>
                    <xdr:rowOff>19050</xdr:rowOff>
                  </from>
                  <to>
                    <xdr:col>0</xdr:col>
                    <xdr:colOff>447675</xdr:colOff>
                    <xdr:row>41</xdr:row>
                    <xdr:rowOff>266700</xdr:rowOff>
                  </to>
                </anchor>
              </controlPr>
            </control>
          </mc:Choice>
        </mc:AlternateContent>
        <mc:AlternateContent xmlns:mc="http://schemas.openxmlformats.org/markup-compatibility/2006">
          <mc:Choice Requires="x14">
            <control shapeId="1108" r:id="rId53" name="Button 84">
              <controlPr defaultSize="0" print="0" autoFill="0" autoPict="0" macro="[0]!Pulsante42_Click">
                <anchor moveWithCells="1" sizeWithCells="1">
                  <from>
                    <xdr:col>0</xdr:col>
                    <xdr:colOff>28575</xdr:colOff>
                    <xdr:row>42</xdr:row>
                    <xdr:rowOff>19050</xdr:rowOff>
                  </from>
                  <to>
                    <xdr:col>0</xdr:col>
                    <xdr:colOff>447675</xdr:colOff>
                    <xdr:row>42</xdr:row>
                    <xdr:rowOff>266700</xdr:rowOff>
                  </to>
                </anchor>
              </controlPr>
            </control>
          </mc:Choice>
        </mc:AlternateContent>
        <mc:AlternateContent xmlns:mc="http://schemas.openxmlformats.org/markup-compatibility/2006">
          <mc:Choice Requires="x14">
            <control shapeId="1109" r:id="rId54" name="Button 85">
              <controlPr defaultSize="0" print="0" autoFill="0" autoPict="0" macro="[0]!Pulsante43_Click">
                <anchor moveWithCells="1" sizeWithCells="1">
                  <from>
                    <xdr:col>0</xdr:col>
                    <xdr:colOff>28575</xdr:colOff>
                    <xdr:row>43</xdr:row>
                    <xdr:rowOff>19050</xdr:rowOff>
                  </from>
                  <to>
                    <xdr:col>0</xdr:col>
                    <xdr:colOff>447675</xdr:colOff>
                    <xdr:row>43</xdr:row>
                    <xdr:rowOff>266700</xdr:rowOff>
                  </to>
                </anchor>
              </controlPr>
            </control>
          </mc:Choice>
        </mc:AlternateContent>
        <mc:AlternateContent xmlns:mc="http://schemas.openxmlformats.org/markup-compatibility/2006">
          <mc:Choice Requires="x14">
            <control shapeId="1110" r:id="rId55" name="Button 86">
              <controlPr defaultSize="0" print="0" autoFill="0" autoPict="0" macro="[0]!Pulsante44_Click">
                <anchor moveWithCells="1" sizeWithCells="1">
                  <from>
                    <xdr:col>0</xdr:col>
                    <xdr:colOff>28575</xdr:colOff>
                    <xdr:row>44</xdr:row>
                    <xdr:rowOff>19050</xdr:rowOff>
                  </from>
                  <to>
                    <xdr:col>0</xdr:col>
                    <xdr:colOff>447675</xdr:colOff>
                    <xdr:row>44</xdr:row>
                    <xdr:rowOff>266700</xdr:rowOff>
                  </to>
                </anchor>
              </controlPr>
            </control>
          </mc:Choice>
        </mc:AlternateContent>
        <mc:AlternateContent xmlns:mc="http://schemas.openxmlformats.org/markup-compatibility/2006">
          <mc:Choice Requires="x14">
            <control shapeId="1111" r:id="rId56" name="Button 87">
              <controlPr defaultSize="0" print="0" autoFill="0" autoPict="0" macro="[0]!Pulsante45_Click">
                <anchor moveWithCells="1" sizeWithCells="1">
                  <from>
                    <xdr:col>0</xdr:col>
                    <xdr:colOff>28575</xdr:colOff>
                    <xdr:row>45</xdr:row>
                    <xdr:rowOff>19050</xdr:rowOff>
                  </from>
                  <to>
                    <xdr:col>0</xdr:col>
                    <xdr:colOff>447675</xdr:colOff>
                    <xdr:row>45</xdr:row>
                    <xdr:rowOff>266700</xdr:rowOff>
                  </to>
                </anchor>
              </controlPr>
            </control>
          </mc:Choice>
        </mc:AlternateContent>
        <mc:AlternateContent xmlns:mc="http://schemas.openxmlformats.org/markup-compatibility/2006">
          <mc:Choice Requires="x14">
            <control shapeId="1112" r:id="rId57" name="Button 88">
              <controlPr defaultSize="0" print="0" autoFill="0" autoPict="0" macro="[0]!Pulsante46_Click">
                <anchor moveWithCells="1" sizeWithCells="1">
                  <from>
                    <xdr:col>0</xdr:col>
                    <xdr:colOff>28575</xdr:colOff>
                    <xdr:row>46</xdr:row>
                    <xdr:rowOff>19050</xdr:rowOff>
                  </from>
                  <to>
                    <xdr:col>0</xdr:col>
                    <xdr:colOff>447675</xdr:colOff>
                    <xdr:row>46</xdr:row>
                    <xdr:rowOff>266700</xdr:rowOff>
                  </to>
                </anchor>
              </controlPr>
            </control>
          </mc:Choice>
        </mc:AlternateContent>
        <mc:AlternateContent xmlns:mc="http://schemas.openxmlformats.org/markup-compatibility/2006">
          <mc:Choice Requires="x14">
            <control shapeId="1113" r:id="rId58" name="Button 89">
              <controlPr defaultSize="0" print="0" autoFill="0" autoPict="0" macro="[0]!Pulsante47_Click">
                <anchor moveWithCells="1" sizeWithCells="1">
                  <from>
                    <xdr:col>0</xdr:col>
                    <xdr:colOff>28575</xdr:colOff>
                    <xdr:row>47</xdr:row>
                    <xdr:rowOff>19050</xdr:rowOff>
                  </from>
                  <to>
                    <xdr:col>0</xdr:col>
                    <xdr:colOff>447675</xdr:colOff>
                    <xdr:row>47</xdr:row>
                    <xdr:rowOff>266700</xdr:rowOff>
                  </to>
                </anchor>
              </controlPr>
            </control>
          </mc:Choice>
        </mc:AlternateContent>
        <mc:AlternateContent xmlns:mc="http://schemas.openxmlformats.org/markup-compatibility/2006">
          <mc:Choice Requires="x14">
            <control shapeId="1114" r:id="rId59" name="Button 90">
              <controlPr defaultSize="0" print="0" autoFill="0" autoPict="0" macro="[0]!Pulsante48_Click">
                <anchor moveWithCells="1" sizeWithCells="1">
                  <from>
                    <xdr:col>0</xdr:col>
                    <xdr:colOff>28575</xdr:colOff>
                    <xdr:row>48</xdr:row>
                    <xdr:rowOff>19050</xdr:rowOff>
                  </from>
                  <to>
                    <xdr:col>0</xdr:col>
                    <xdr:colOff>447675</xdr:colOff>
                    <xdr:row>48</xdr:row>
                    <xdr:rowOff>266700</xdr:rowOff>
                  </to>
                </anchor>
              </controlPr>
            </control>
          </mc:Choice>
        </mc:AlternateContent>
        <mc:AlternateContent xmlns:mc="http://schemas.openxmlformats.org/markup-compatibility/2006">
          <mc:Choice Requires="x14">
            <control shapeId="1115" r:id="rId60" name="Button 91">
              <controlPr defaultSize="0" print="0" autoFill="0" autoPict="0" macro="[0]!Pulsante49_Click">
                <anchor moveWithCells="1" sizeWithCells="1">
                  <from>
                    <xdr:col>0</xdr:col>
                    <xdr:colOff>28575</xdr:colOff>
                    <xdr:row>49</xdr:row>
                    <xdr:rowOff>19050</xdr:rowOff>
                  </from>
                  <to>
                    <xdr:col>0</xdr:col>
                    <xdr:colOff>447675</xdr:colOff>
                    <xdr:row>49</xdr:row>
                    <xdr:rowOff>266700</xdr:rowOff>
                  </to>
                </anchor>
              </controlPr>
            </control>
          </mc:Choice>
        </mc:AlternateContent>
        <mc:AlternateContent xmlns:mc="http://schemas.openxmlformats.org/markup-compatibility/2006">
          <mc:Choice Requires="x14">
            <control shapeId="1119" r:id="rId61" name="Button 95">
              <controlPr defaultSize="0" print="0" autoFill="0" autoPict="0" macro="[0]!Pulsante53_Click">
                <anchor moveWithCells="1" sizeWithCells="1">
                  <from>
                    <xdr:col>0</xdr:col>
                    <xdr:colOff>28575</xdr:colOff>
                    <xdr:row>53</xdr:row>
                    <xdr:rowOff>19050</xdr:rowOff>
                  </from>
                  <to>
                    <xdr:col>0</xdr:col>
                    <xdr:colOff>447675</xdr:colOff>
                    <xdr:row>53</xdr:row>
                    <xdr:rowOff>266700</xdr:rowOff>
                  </to>
                </anchor>
              </controlPr>
            </control>
          </mc:Choice>
        </mc:AlternateContent>
        <mc:AlternateContent xmlns:mc="http://schemas.openxmlformats.org/markup-compatibility/2006">
          <mc:Choice Requires="x14">
            <control shapeId="1120" r:id="rId62" name="Button 96">
              <controlPr defaultSize="0" print="0" autoFill="0" autoPict="0" macro="[0]!Pulsante54_Click">
                <anchor moveWithCells="1" sizeWithCells="1">
                  <from>
                    <xdr:col>0</xdr:col>
                    <xdr:colOff>28575</xdr:colOff>
                    <xdr:row>54</xdr:row>
                    <xdr:rowOff>19050</xdr:rowOff>
                  </from>
                  <to>
                    <xdr:col>0</xdr:col>
                    <xdr:colOff>447675</xdr:colOff>
                    <xdr:row>54</xdr:row>
                    <xdr:rowOff>266700</xdr:rowOff>
                  </to>
                </anchor>
              </controlPr>
            </control>
          </mc:Choice>
        </mc:AlternateContent>
        <mc:AlternateContent xmlns:mc="http://schemas.openxmlformats.org/markup-compatibility/2006">
          <mc:Choice Requires="x14">
            <control shapeId="1121" r:id="rId63" name="Button 97">
              <controlPr defaultSize="0" print="0" autoFill="0" autoPict="0" macro="[0]!Pulsante55_Click">
                <anchor moveWithCells="1" sizeWithCells="1">
                  <from>
                    <xdr:col>0</xdr:col>
                    <xdr:colOff>28575</xdr:colOff>
                    <xdr:row>55</xdr:row>
                    <xdr:rowOff>19050</xdr:rowOff>
                  </from>
                  <to>
                    <xdr:col>0</xdr:col>
                    <xdr:colOff>447675</xdr:colOff>
                    <xdr:row>55</xdr:row>
                    <xdr:rowOff>266700</xdr:rowOff>
                  </to>
                </anchor>
              </controlPr>
            </control>
          </mc:Choice>
        </mc:AlternateContent>
        <mc:AlternateContent xmlns:mc="http://schemas.openxmlformats.org/markup-compatibility/2006">
          <mc:Choice Requires="x14">
            <control shapeId="1122" r:id="rId64" name="Button 98">
              <controlPr defaultSize="0" print="0" autoFill="0" autoPict="0" macro="[0]!Pulsante56_Click">
                <anchor moveWithCells="1" sizeWithCells="1">
                  <from>
                    <xdr:col>0</xdr:col>
                    <xdr:colOff>28575</xdr:colOff>
                    <xdr:row>56</xdr:row>
                    <xdr:rowOff>19050</xdr:rowOff>
                  </from>
                  <to>
                    <xdr:col>0</xdr:col>
                    <xdr:colOff>447675</xdr:colOff>
                    <xdr:row>56</xdr:row>
                    <xdr:rowOff>266700</xdr:rowOff>
                  </to>
                </anchor>
              </controlPr>
            </control>
          </mc:Choice>
        </mc:AlternateContent>
        <mc:AlternateContent xmlns:mc="http://schemas.openxmlformats.org/markup-compatibility/2006">
          <mc:Choice Requires="x14">
            <control shapeId="1123" r:id="rId65" name="Button 99">
              <controlPr defaultSize="0" print="0" autoFill="0" autoPict="0" macro="[0]!Pulsante57_Click">
                <anchor moveWithCells="1" sizeWithCells="1">
                  <from>
                    <xdr:col>0</xdr:col>
                    <xdr:colOff>28575</xdr:colOff>
                    <xdr:row>57</xdr:row>
                    <xdr:rowOff>19050</xdr:rowOff>
                  </from>
                  <to>
                    <xdr:col>0</xdr:col>
                    <xdr:colOff>447675</xdr:colOff>
                    <xdr:row>57</xdr:row>
                    <xdr:rowOff>266700</xdr:rowOff>
                  </to>
                </anchor>
              </controlPr>
            </control>
          </mc:Choice>
        </mc:AlternateContent>
        <mc:AlternateContent xmlns:mc="http://schemas.openxmlformats.org/markup-compatibility/2006">
          <mc:Choice Requires="x14">
            <control shapeId="1124" r:id="rId66" name="Button 100">
              <controlPr defaultSize="0" print="0" autoFill="0" autoPict="0" macro="[0]!Pulsante58_Click">
                <anchor moveWithCells="1" sizeWithCells="1">
                  <from>
                    <xdr:col>0</xdr:col>
                    <xdr:colOff>28575</xdr:colOff>
                    <xdr:row>58</xdr:row>
                    <xdr:rowOff>19050</xdr:rowOff>
                  </from>
                  <to>
                    <xdr:col>0</xdr:col>
                    <xdr:colOff>447675</xdr:colOff>
                    <xdr:row>58</xdr:row>
                    <xdr:rowOff>266700</xdr:rowOff>
                  </to>
                </anchor>
              </controlPr>
            </control>
          </mc:Choice>
        </mc:AlternateContent>
        <mc:AlternateContent xmlns:mc="http://schemas.openxmlformats.org/markup-compatibility/2006">
          <mc:Choice Requires="x14">
            <control shapeId="1125" r:id="rId67" name="Button 101">
              <controlPr defaultSize="0" print="0" autoFill="0" autoPict="0" macro="[0]!Pulsante59_Click">
                <anchor moveWithCells="1" sizeWithCells="1">
                  <from>
                    <xdr:col>0</xdr:col>
                    <xdr:colOff>28575</xdr:colOff>
                    <xdr:row>59</xdr:row>
                    <xdr:rowOff>19050</xdr:rowOff>
                  </from>
                  <to>
                    <xdr:col>0</xdr:col>
                    <xdr:colOff>447675</xdr:colOff>
                    <xdr:row>59</xdr:row>
                    <xdr:rowOff>266700</xdr:rowOff>
                  </to>
                </anchor>
              </controlPr>
            </control>
          </mc:Choice>
        </mc:AlternateContent>
        <mc:AlternateContent xmlns:mc="http://schemas.openxmlformats.org/markup-compatibility/2006">
          <mc:Choice Requires="x14">
            <control shapeId="1126" r:id="rId68" name="Button 102">
              <controlPr defaultSize="0" print="0" autoFill="0" autoPict="0" macro="[0]!Pulsante60_Click">
                <anchor moveWithCells="1" sizeWithCells="1">
                  <from>
                    <xdr:col>0</xdr:col>
                    <xdr:colOff>28575</xdr:colOff>
                    <xdr:row>60</xdr:row>
                    <xdr:rowOff>19050</xdr:rowOff>
                  </from>
                  <to>
                    <xdr:col>0</xdr:col>
                    <xdr:colOff>447675</xdr:colOff>
                    <xdr:row>60</xdr:row>
                    <xdr:rowOff>266700</xdr:rowOff>
                  </to>
                </anchor>
              </controlPr>
            </control>
          </mc:Choice>
        </mc:AlternateContent>
        <mc:AlternateContent xmlns:mc="http://schemas.openxmlformats.org/markup-compatibility/2006">
          <mc:Choice Requires="x14">
            <control shapeId="1127" r:id="rId69" name="Button 103">
              <controlPr defaultSize="0" print="0" autoFill="0" autoPict="0" macro="[0]!Pulsante61_Click">
                <anchor moveWithCells="1" sizeWithCells="1">
                  <from>
                    <xdr:col>0</xdr:col>
                    <xdr:colOff>28575</xdr:colOff>
                    <xdr:row>61</xdr:row>
                    <xdr:rowOff>19050</xdr:rowOff>
                  </from>
                  <to>
                    <xdr:col>0</xdr:col>
                    <xdr:colOff>447675</xdr:colOff>
                    <xdr:row>61</xdr:row>
                    <xdr:rowOff>266700</xdr:rowOff>
                  </to>
                </anchor>
              </controlPr>
            </control>
          </mc:Choice>
        </mc:AlternateContent>
        <mc:AlternateContent xmlns:mc="http://schemas.openxmlformats.org/markup-compatibility/2006">
          <mc:Choice Requires="x14">
            <control shapeId="1128" r:id="rId70" name="Button 104">
              <controlPr defaultSize="0" print="0" autoFill="0" autoPict="0" macro="[0]!Pulsante62_Click">
                <anchor moveWithCells="1" sizeWithCells="1">
                  <from>
                    <xdr:col>0</xdr:col>
                    <xdr:colOff>28575</xdr:colOff>
                    <xdr:row>62</xdr:row>
                    <xdr:rowOff>19050</xdr:rowOff>
                  </from>
                  <to>
                    <xdr:col>0</xdr:col>
                    <xdr:colOff>447675</xdr:colOff>
                    <xdr:row>62</xdr:row>
                    <xdr:rowOff>266700</xdr:rowOff>
                  </to>
                </anchor>
              </controlPr>
            </control>
          </mc:Choice>
        </mc:AlternateContent>
        <mc:AlternateContent xmlns:mc="http://schemas.openxmlformats.org/markup-compatibility/2006">
          <mc:Choice Requires="x14">
            <control shapeId="1129" r:id="rId71" name="Button 105">
              <controlPr defaultSize="0" print="0" autoFill="0" autoPict="0" macro="[0]!Pulsante63_Click">
                <anchor moveWithCells="1" sizeWithCells="1">
                  <from>
                    <xdr:col>0</xdr:col>
                    <xdr:colOff>28575</xdr:colOff>
                    <xdr:row>63</xdr:row>
                    <xdr:rowOff>19050</xdr:rowOff>
                  </from>
                  <to>
                    <xdr:col>0</xdr:col>
                    <xdr:colOff>447675</xdr:colOff>
                    <xdr:row>63</xdr:row>
                    <xdr:rowOff>266700</xdr:rowOff>
                  </to>
                </anchor>
              </controlPr>
            </control>
          </mc:Choice>
        </mc:AlternateContent>
        <mc:AlternateContent xmlns:mc="http://schemas.openxmlformats.org/markup-compatibility/2006">
          <mc:Choice Requires="x14">
            <control shapeId="1130" r:id="rId72" name="Button 106">
              <controlPr defaultSize="0" print="0" autoFill="0" autoPict="0" macro="[0]!Pulsante64_Click">
                <anchor moveWithCells="1" sizeWithCells="1">
                  <from>
                    <xdr:col>0</xdr:col>
                    <xdr:colOff>28575</xdr:colOff>
                    <xdr:row>64</xdr:row>
                    <xdr:rowOff>19050</xdr:rowOff>
                  </from>
                  <to>
                    <xdr:col>0</xdr:col>
                    <xdr:colOff>447675</xdr:colOff>
                    <xdr:row>64</xdr:row>
                    <xdr:rowOff>266700</xdr:rowOff>
                  </to>
                </anchor>
              </controlPr>
            </control>
          </mc:Choice>
        </mc:AlternateContent>
        <mc:AlternateContent xmlns:mc="http://schemas.openxmlformats.org/markup-compatibility/2006">
          <mc:Choice Requires="x14">
            <control shapeId="1131" r:id="rId73" name="Button 107">
              <controlPr defaultSize="0" print="0" autoFill="0" autoPict="0" macro="[0]!Pulsante65_Click">
                <anchor moveWithCells="1" sizeWithCells="1">
                  <from>
                    <xdr:col>0</xdr:col>
                    <xdr:colOff>28575</xdr:colOff>
                    <xdr:row>65</xdr:row>
                    <xdr:rowOff>19050</xdr:rowOff>
                  </from>
                  <to>
                    <xdr:col>0</xdr:col>
                    <xdr:colOff>447675</xdr:colOff>
                    <xdr:row>65</xdr:row>
                    <xdr:rowOff>266700</xdr:rowOff>
                  </to>
                </anchor>
              </controlPr>
            </control>
          </mc:Choice>
        </mc:AlternateContent>
        <mc:AlternateContent xmlns:mc="http://schemas.openxmlformats.org/markup-compatibility/2006">
          <mc:Choice Requires="x14">
            <control shapeId="1132" r:id="rId74" name="Button 108">
              <controlPr defaultSize="0" print="0" autoFill="0" autoPict="0" macro="[0]!Pulsante66_Click">
                <anchor moveWithCells="1" sizeWithCells="1">
                  <from>
                    <xdr:col>0</xdr:col>
                    <xdr:colOff>28575</xdr:colOff>
                    <xdr:row>66</xdr:row>
                    <xdr:rowOff>19050</xdr:rowOff>
                  </from>
                  <to>
                    <xdr:col>0</xdr:col>
                    <xdr:colOff>447675</xdr:colOff>
                    <xdr:row>66</xdr:row>
                    <xdr:rowOff>266700</xdr:rowOff>
                  </to>
                </anchor>
              </controlPr>
            </control>
          </mc:Choice>
        </mc:AlternateContent>
        <mc:AlternateContent xmlns:mc="http://schemas.openxmlformats.org/markup-compatibility/2006">
          <mc:Choice Requires="x14">
            <control shapeId="1133" r:id="rId75" name="Button 109">
              <controlPr defaultSize="0" print="0" autoFill="0" autoPict="0" macro="[0]!Pulsante67_Click">
                <anchor moveWithCells="1" sizeWithCells="1">
                  <from>
                    <xdr:col>0</xdr:col>
                    <xdr:colOff>28575</xdr:colOff>
                    <xdr:row>67</xdr:row>
                    <xdr:rowOff>19050</xdr:rowOff>
                  </from>
                  <to>
                    <xdr:col>0</xdr:col>
                    <xdr:colOff>447675</xdr:colOff>
                    <xdr:row>67</xdr:row>
                    <xdr:rowOff>266700</xdr:rowOff>
                  </to>
                </anchor>
              </controlPr>
            </control>
          </mc:Choice>
        </mc:AlternateContent>
        <mc:AlternateContent xmlns:mc="http://schemas.openxmlformats.org/markup-compatibility/2006">
          <mc:Choice Requires="x14">
            <control shapeId="1134" r:id="rId76" name="Button 110">
              <controlPr defaultSize="0" print="0" autoFill="0" autoPict="0" macro="[0]!Pulsante68_Click">
                <anchor moveWithCells="1" sizeWithCells="1">
                  <from>
                    <xdr:col>0</xdr:col>
                    <xdr:colOff>28575</xdr:colOff>
                    <xdr:row>68</xdr:row>
                    <xdr:rowOff>19050</xdr:rowOff>
                  </from>
                  <to>
                    <xdr:col>0</xdr:col>
                    <xdr:colOff>447675</xdr:colOff>
                    <xdr:row>68</xdr:row>
                    <xdr:rowOff>266700</xdr:rowOff>
                  </to>
                </anchor>
              </controlPr>
            </control>
          </mc:Choice>
        </mc:AlternateContent>
        <mc:AlternateContent xmlns:mc="http://schemas.openxmlformats.org/markup-compatibility/2006">
          <mc:Choice Requires="x14">
            <control shapeId="1135" r:id="rId77" name="Button 111">
              <controlPr defaultSize="0" print="0" autoFill="0" autoPict="0" macro="[0]!Pulsante69_Click">
                <anchor moveWithCells="1" sizeWithCells="1">
                  <from>
                    <xdr:col>0</xdr:col>
                    <xdr:colOff>28575</xdr:colOff>
                    <xdr:row>69</xdr:row>
                    <xdr:rowOff>19050</xdr:rowOff>
                  </from>
                  <to>
                    <xdr:col>0</xdr:col>
                    <xdr:colOff>447675</xdr:colOff>
                    <xdr:row>69</xdr:row>
                    <xdr:rowOff>266700</xdr:rowOff>
                  </to>
                </anchor>
              </controlPr>
            </control>
          </mc:Choice>
        </mc:AlternateContent>
        <mc:AlternateContent xmlns:mc="http://schemas.openxmlformats.org/markup-compatibility/2006">
          <mc:Choice Requires="x14">
            <control shapeId="1136" r:id="rId78" name="Button 112">
              <controlPr defaultSize="0" print="0" autoFill="0" autoPict="0" macro="[0]!Pulsante70_Click">
                <anchor moveWithCells="1" sizeWithCells="1">
                  <from>
                    <xdr:col>0</xdr:col>
                    <xdr:colOff>28575</xdr:colOff>
                    <xdr:row>70</xdr:row>
                    <xdr:rowOff>19050</xdr:rowOff>
                  </from>
                  <to>
                    <xdr:col>0</xdr:col>
                    <xdr:colOff>447675</xdr:colOff>
                    <xdr:row>70</xdr:row>
                    <xdr:rowOff>266700</xdr:rowOff>
                  </to>
                </anchor>
              </controlPr>
            </control>
          </mc:Choice>
        </mc:AlternateContent>
        <mc:AlternateContent xmlns:mc="http://schemas.openxmlformats.org/markup-compatibility/2006">
          <mc:Choice Requires="x14">
            <control shapeId="1137" r:id="rId79" name="Button 113">
              <controlPr defaultSize="0" print="0" autoFill="0" autoPict="0" macro="[0]!Pulsante71_Click">
                <anchor moveWithCells="1" sizeWithCells="1">
                  <from>
                    <xdr:col>0</xdr:col>
                    <xdr:colOff>28575</xdr:colOff>
                    <xdr:row>71</xdr:row>
                    <xdr:rowOff>19050</xdr:rowOff>
                  </from>
                  <to>
                    <xdr:col>0</xdr:col>
                    <xdr:colOff>447675</xdr:colOff>
                    <xdr:row>71</xdr:row>
                    <xdr:rowOff>266700</xdr:rowOff>
                  </to>
                </anchor>
              </controlPr>
            </control>
          </mc:Choice>
        </mc:AlternateContent>
        <mc:AlternateContent xmlns:mc="http://schemas.openxmlformats.org/markup-compatibility/2006">
          <mc:Choice Requires="x14">
            <control shapeId="1138" r:id="rId80" name="Button 114">
              <controlPr defaultSize="0" print="0" autoFill="0" autoPict="0" macro="[0]!Pulsante72_Click">
                <anchor moveWithCells="1" sizeWithCells="1">
                  <from>
                    <xdr:col>0</xdr:col>
                    <xdr:colOff>28575</xdr:colOff>
                    <xdr:row>72</xdr:row>
                    <xdr:rowOff>19050</xdr:rowOff>
                  </from>
                  <to>
                    <xdr:col>0</xdr:col>
                    <xdr:colOff>447675</xdr:colOff>
                    <xdr:row>72</xdr:row>
                    <xdr:rowOff>266700</xdr:rowOff>
                  </to>
                </anchor>
              </controlPr>
            </control>
          </mc:Choice>
        </mc:AlternateContent>
        <mc:AlternateContent xmlns:mc="http://schemas.openxmlformats.org/markup-compatibility/2006">
          <mc:Choice Requires="x14">
            <control shapeId="1139" r:id="rId81" name="Button 115">
              <controlPr defaultSize="0" print="0" autoFill="0" autoPict="0" macro="[0]!Pulsante73_Click">
                <anchor moveWithCells="1" sizeWithCells="1">
                  <from>
                    <xdr:col>0</xdr:col>
                    <xdr:colOff>28575</xdr:colOff>
                    <xdr:row>73</xdr:row>
                    <xdr:rowOff>19050</xdr:rowOff>
                  </from>
                  <to>
                    <xdr:col>0</xdr:col>
                    <xdr:colOff>447675</xdr:colOff>
                    <xdr:row>73</xdr:row>
                    <xdr:rowOff>266700</xdr:rowOff>
                  </to>
                </anchor>
              </controlPr>
            </control>
          </mc:Choice>
        </mc:AlternateContent>
        <mc:AlternateContent xmlns:mc="http://schemas.openxmlformats.org/markup-compatibility/2006">
          <mc:Choice Requires="x14">
            <control shapeId="1141" r:id="rId82" name="Button 117">
              <controlPr defaultSize="0" print="0" autoFill="0" autoPict="0" macro="[0]!Pulsante75_Click">
                <anchor moveWithCells="1" sizeWithCells="1">
                  <from>
                    <xdr:col>0</xdr:col>
                    <xdr:colOff>28575</xdr:colOff>
                    <xdr:row>75</xdr:row>
                    <xdr:rowOff>19050</xdr:rowOff>
                  </from>
                  <to>
                    <xdr:col>0</xdr:col>
                    <xdr:colOff>447675</xdr:colOff>
                    <xdr:row>75</xdr:row>
                    <xdr:rowOff>266700</xdr:rowOff>
                  </to>
                </anchor>
              </controlPr>
            </control>
          </mc:Choice>
        </mc:AlternateContent>
        <mc:AlternateContent xmlns:mc="http://schemas.openxmlformats.org/markup-compatibility/2006">
          <mc:Choice Requires="x14">
            <control shapeId="1142" r:id="rId83" name="Button 118">
              <controlPr defaultSize="0" print="0" autoFill="0" autoPict="0" macro="[0]!Pulsante76_Click">
                <anchor moveWithCells="1" sizeWithCells="1">
                  <from>
                    <xdr:col>0</xdr:col>
                    <xdr:colOff>28575</xdr:colOff>
                    <xdr:row>76</xdr:row>
                    <xdr:rowOff>19050</xdr:rowOff>
                  </from>
                  <to>
                    <xdr:col>0</xdr:col>
                    <xdr:colOff>447675</xdr:colOff>
                    <xdr:row>76</xdr:row>
                    <xdr:rowOff>266700</xdr:rowOff>
                  </to>
                </anchor>
              </controlPr>
            </control>
          </mc:Choice>
        </mc:AlternateContent>
        <mc:AlternateContent xmlns:mc="http://schemas.openxmlformats.org/markup-compatibility/2006">
          <mc:Choice Requires="x14">
            <control shapeId="1143" r:id="rId84" name="Button 119">
              <controlPr defaultSize="0" print="0" autoFill="0" autoPict="0" macro="[0]!Pulsante77_Click">
                <anchor moveWithCells="1" sizeWithCells="1">
                  <from>
                    <xdr:col>0</xdr:col>
                    <xdr:colOff>28575</xdr:colOff>
                    <xdr:row>77</xdr:row>
                    <xdr:rowOff>19050</xdr:rowOff>
                  </from>
                  <to>
                    <xdr:col>0</xdr:col>
                    <xdr:colOff>447675</xdr:colOff>
                    <xdr:row>77</xdr:row>
                    <xdr:rowOff>266700</xdr:rowOff>
                  </to>
                </anchor>
              </controlPr>
            </control>
          </mc:Choice>
        </mc:AlternateContent>
        <mc:AlternateContent xmlns:mc="http://schemas.openxmlformats.org/markup-compatibility/2006">
          <mc:Choice Requires="x14">
            <control shapeId="1144" r:id="rId85" name="Button 120">
              <controlPr defaultSize="0" print="0" autoFill="0" autoPict="0" macro="[0]!Pulsante78_Click">
                <anchor moveWithCells="1" sizeWithCells="1">
                  <from>
                    <xdr:col>0</xdr:col>
                    <xdr:colOff>28575</xdr:colOff>
                    <xdr:row>78</xdr:row>
                    <xdr:rowOff>19050</xdr:rowOff>
                  </from>
                  <to>
                    <xdr:col>0</xdr:col>
                    <xdr:colOff>447675</xdr:colOff>
                    <xdr:row>78</xdr:row>
                    <xdr:rowOff>266700</xdr:rowOff>
                  </to>
                </anchor>
              </controlPr>
            </control>
          </mc:Choice>
        </mc:AlternateContent>
        <mc:AlternateContent xmlns:mc="http://schemas.openxmlformats.org/markup-compatibility/2006">
          <mc:Choice Requires="x14">
            <control shapeId="1145" r:id="rId86" name="Button 121">
              <controlPr defaultSize="0" print="0" autoFill="0" autoPict="0" macro="[0]!Pulsante79_Click">
                <anchor moveWithCells="1" sizeWithCells="1">
                  <from>
                    <xdr:col>0</xdr:col>
                    <xdr:colOff>28575</xdr:colOff>
                    <xdr:row>79</xdr:row>
                    <xdr:rowOff>19050</xdr:rowOff>
                  </from>
                  <to>
                    <xdr:col>0</xdr:col>
                    <xdr:colOff>447675</xdr:colOff>
                    <xdr:row>79</xdr:row>
                    <xdr:rowOff>266700</xdr:rowOff>
                  </to>
                </anchor>
              </controlPr>
            </control>
          </mc:Choice>
        </mc:AlternateContent>
        <mc:AlternateContent xmlns:mc="http://schemas.openxmlformats.org/markup-compatibility/2006">
          <mc:Choice Requires="x14">
            <control shapeId="1146" r:id="rId87" name="Button 122">
              <controlPr defaultSize="0" print="0" autoFill="0" autoPict="0" macro="[0]!Pulsante80_Click">
                <anchor moveWithCells="1" sizeWithCells="1">
                  <from>
                    <xdr:col>0</xdr:col>
                    <xdr:colOff>28575</xdr:colOff>
                    <xdr:row>80</xdr:row>
                    <xdr:rowOff>19050</xdr:rowOff>
                  </from>
                  <to>
                    <xdr:col>0</xdr:col>
                    <xdr:colOff>447675</xdr:colOff>
                    <xdr:row>80</xdr:row>
                    <xdr:rowOff>266700</xdr:rowOff>
                  </to>
                </anchor>
              </controlPr>
            </control>
          </mc:Choice>
        </mc:AlternateContent>
        <mc:AlternateContent xmlns:mc="http://schemas.openxmlformats.org/markup-compatibility/2006">
          <mc:Choice Requires="x14">
            <control shapeId="1147" r:id="rId88" name="Button 123">
              <controlPr defaultSize="0" print="0" autoFill="0" autoPict="0" macro="[0]!Pulsante81_Click">
                <anchor moveWithCells="1" sizeWithCells="1">
                  <from>
                    <xdr:col>0</xdr:col>
                    <xdr:colOff>28575</xdr:colOff>
                    <xdr:row>81</xdr:row>
                    <xdr:rowOff>19050</xdr:rowOff>
                  </from>
                  <to>
                    <xdr:col>0</xdr:col>
                    <xdr:colOff>447675</xdr:colOff>
                    <xdr:row>81</xdr:row>
                    <xdr:rowOff>266700</xdr:rowOff>
                  </to>
                </anchor>
              </controlPr>
            </control>
          </mc:Choice>
        </mc:AlternateContent>
        <mc:AlternateContent xmlns:mc="http://schemas.openxmlformats.org/markup-compatibility/2006">
          <mc:Choice Requires="x14">
            <control shapeId="1148" r:id="rId89" name="Button 124">
              <controlPr defaultSize="0" print="0" autoFill="0" autoPict="0" macro="[0]!Pulsante82_Click">
                <anchor moveWithCells="1" sizeWithCells="1">
                  <from>
                    <xdr:col>0</xdr:col>
                    <xdr:colOff>28575</xdr:colOff>
                    <xdr:row>82</xdr:row>
                    <xdr:rowOff>19050</xdr:rowOff>
                  </from>
                  <to>
                    <xdr:col>0</xdr:col>
                    <xdr:colOff>447675</xdr:colOff>
                    <xdr:row>82</xdr:row>
                    <xdr:rowOff>266700</xdr:rowOff>
                  </to>
                </anchor>
              </controlPr>
            </control>
          </mc:Choice>
        </mc:AlternateContent>
        <mc:AlternateContent xmlns:mc="http://schemas.openxmlformats.org/markup-compatibility/2006">
          <mc:Choice Requires="x14">
            <control shapeId="1149" r:id="rId90" name="Button 125">
              <controlPr defaultSize="0" print="0" autoFill="0" autoPict="0" macro="[0]!Pulsante83_Click">
                <anchor moveWithCells="1" sizeWithCells="1">
                  <from>
                    <xdr:col>0</xdr:col>
                    <xdr:colOff>28575</xdr:colOff>
                    <xdr:row>83</xdr:row>
                    <xdr:rowOff>19050</xdr:rowOff>
                  </from>
                  <to>
                    <xdr:col>0</xdr:col>
                    <xdr:colOff>447675</xdr:colOff>
                    <xdr:row>83</xdr:row>
                    <xdr:rowOff>266700</xdr:rowOff>
                  </to>
                </anchor>
              </controlPr>
            </control>
          </mc:Choice>
        </mc:AlternateContent>
        <mc:AlternateContent xmlns:mc="http://schemas.openxmlformats.org/markup-compatibility/2006">
          <mc:Choice Requires="x14">
            <control shapeId="1150" r:id="rId91" name="Button 126">
              <controlPr defaultSize="0" print="0" autoFill="0" autoPict="0" macro="[0]!Pulsante84_Click">
                <anchor moveWithCells="1" sizeWithCells="1">
                  <from>
                    <xdr:col>0</xdr:col>
                    <xdr:colOff>28575</xdr:colOff>
                    <xdr:row>84</xdr:row>
                    <xdr:rowOff>19050</xdr:rowOff>
                  </from>
                  <to>
                    <xdr:col>0</xdr:col>
                    <xdr:colOff>447675</xdr:colOff>
                    <xdr:row>84</xdr:row>
                    <xdr:rowOff>266700</xdr:rowOff>
                  </to>
                </anchor>
              </controlPr>
            </control>
          </mc:Choice>
        </mc:AlternateContent>
        <mc:AlternateContent xmlns:mc="http://schemas.openxmlformats.org/markup-compatibility/2006">
          <mc:Choice Requires="x14">
            <control shapeId="1151" r:id="rId92" name="Button 127">
              <controlPr defaultSize="0" print="0" autoFill="0" autoPict="0" macro="[0]!Pulsante85_Click">
                <anchor moveWithCells="1" sizeWithCells="1">
                  <from>
                    <xdr:col>0</xdr:col>
                    <xdr:colOff>28575</xdr:colOff>
                    <xdr:row>85</xdr:row>
                    <xdr:rowOff>19050</xdr:rowOff>
                  </from>
                  <to>
                    <xdr:col>0</xdr:col>
                    <xdr:colOff>447675</xdr:colOff>
                    <xdr:row>85</xdr:row>
                    <xdr:rowOff>266700</xdr:rowOff>
                  </to>
                </anchor>
              </controlPr>
            </control>
          </mc:Choice>
        </mc:AlternateContent>
        <mc:AlternateContent xmlns:mc="http://schemas.openxmlformats.org/markup-compatibility/2006">
          <mc:Choice Requires="x14">
            <control shapeId="1152" r:id="rId93" name="Button 128">
              <controlPr defaultSize="0" print="0" autoFill="0" autoPict="0" macro="[0]!Pulsante86_Click">
                <anchor moveWithCells="1" sizeWithCells="1">
                  <from>
                    <xdr:col>0</xdr:col>
                    <xdr:colOff>28575</xdr:colOff>
                    <xdr:row>86</xdr:row>
                    <xdr:rowOff>19050</xdr:rowOff>
                  </from>
                  <to>
                    <xdr:col>0</xdr:col>
                    <xdr:colOff>447675</xdr:colOff>
                    <xdr:row>86</xdr:row>
                    <xdr:rowOff>266700</xdr:rowOff>
                  </to>
                </anchor>
              </controlPr>
            </control>
          </mc:Choice>
        </mc:AlternateContent>
        <mc:AlternateContent xmlns:mc="http://schemas.openxmlformats.org/markup-compatibility/2006">
          <mc:Choice Requires="x14">
            <control shapeId="1153" r:id="rId94" name="Button 129">
              <controlPr defaultSize="0" print="0" autoFill="0" autoPict="0" macro="[0]!Pulsante87_Click">
                <anchor moveWithCells="1" sizeWithCells="1">
                  <from>
                    <xdr:col>0</xdr:col>
                    <xdr:colOff>28575</xdr:colOff>
                    <xdr:row>87</xdr:row>
                    <xdr:rowOff>19050</xdr:rowOff>
                  </from>
                  <to>
                    <xdr:col>0</xdr:col>
                    <xdr:colOff>447675</xdr:colOff>
                    <xdr:row>87</xdr:row>
                    <xdr:rowOff>266700</xdr:rowOff>
                  </to>
                </anchor>
              </controlPr>
            </control>
          </mc:Choice>
        </mc:AlternateContent>
        <mc:AlternateContent xmlns:mc="http://schemas.openxmlformats.org/markup-compatibility/2006">
          <mc:Choice Requires="x14">
            <control shapeId="1154" r:id="rId95" name="Button 130">
              <controlPr defaultSize="0" print="0" autoFill="0" autoPict="0" macro="[0]!Pulsante88_Click">
                <anchor moveWithCells="1" sizeWithCells="1">
                  <from>
                    <xdr:col>0</xdr:col>
                    <xdr:colOff>28575</xdr:colOff>
                    <xdr:row>88</xdr:row>
                    <xdr:rowOff>19050</xdr:rowOff>
                  </from>
                  <to>
                    <xdr:col>0</xdr:col>
                    <xdr:colOff>447675</xdr:colOff>
                    <xdr:row>88</xdr:row>
                    <xdr:rowOff>266700</xdr:rowOff>
                  </to>
                </anchor>
              </controlPr>
            </control>
          </mc:Choice>
        </mc:AlternateContent>
        <mc:AlternateContent xmlns:mc="http://schemas.openxmlformats.org/markup-compatibility/2006">
          <mc:Choice Requires="x14">
            <control shapeId="1155" r:id="rId96" name="Button 131">
              <controlPr defaultSize="0" print="0" autoFill="0" autoPict="0" macro="[0]!Pulsante89_Click">
                <anchor moveWithCells="1" sizeWithCells="1">
                  <from>
                    <xdr:col>0</xdr:col>
                    <xdr:colOff>28575</xdr:colOff>
                    <xdr:row>89</xdr:row>
                    <xdr:rowOff>19050</xdr:rowOff>
                  </from>
                  <to>
                    <xdr:col>0</xdr:col>
                    <xdr:colOff>447675</xdr:colOff>
                    <xdr:row>89</xdr:row>
                    <xdr:rowOff>266700</xdr:rowOff>
                  </to>
                </anchor>
              </controlPr>
            </control>
          </mc:Choice>
        </mc:AlternateContent>
        <mc:AlternateContent xmlns:mc="http://schemas.openxmlformats.org/markup-compatibility/2006">
          <mc:Choice Requires="x14">
            <control shapeId="1156" r:id="rId97" name="Button 132">
              <controlPr defaultSize="0" print="0" autoFill="0" autoPict="0" macro="[0]!Pulsante90_Click">
                <anchor moveWithCells="1" sizeWithCells="1">
                  <from>
                    <xdr:col>0</xdr:col>
                    <xdr:colOff>28575</xdr:colOff>
                    <xdr:row>90</xdr:row>
                    <xdr:rowOff>19050</xdr:rowOff>
                  </from>
                  <to>
                    <xdr:col>0</xdr:col>
                    <xdr:colOff>447675</xdr:colOff>
                    <xdr:row>90</xdr:row>
                    <xdr:rowOff>266700</xdr:rowOff>
                  </to>
                </anchor>
              </controlPr>
            </control>
          </mc:Choice>
        </mc:AlternateContent>
        <mc:AlternateContent xmlns:mc="http://schemas.openxmlformats.org/markup-compatibility/2006">
          <mc:Choice Requires="x14">
            <control shapeId="1157" r:id="rId98" name="Button 133">
              <controlPr defaultSize="0" print="0" autoFill="0" autoPict="0" macro="[0]!Pulsante91_Click">
                <anchor moveWithCells="1" sizeWithCells="1">
                  <from>
                    <xdr:col>0</xdr:col>
                    <xdr:colOff>28575</xdr:colOff>
                    <xdr:row>91</xdr:row>
                    <xdr:rowOff>19050</xdr:rowOff>
                  </from>
                  <to>
                    <xdr:col>0</xdr:col>
                    <xdr:colOff>447675</xdr:colOff>
                    <xdr:row>91</xdr:row>
                    <xdr:rowOff>266700</xdr:rowOff>
                  </to>
                </anchor>
              </controlPr>
            </control>
          </mc:Choice>
        </mc:AlternateContent>
        <mc:AlternateContent xmlns:mc="http://schemas.openxmlformats.org/markup-compatibility/2006">
          <mc:Choice Requires="x14">
            <control shapeId="1158" r:id="rId99" name="Button 134">
              <controlPr defaultSize="0" print="0" autoFill="0" autoPict="0" macro="[0]!Pulsante92_Click">
                <anchor moveWithCells="1" sizeWithCells="1">
                  <from>
                    <xdr:col>0</xdr:col>
                    <xdr:colOff>28575</xdr:colOff>
                    <xdr:row>92</xdr:row>
                    <xdr:rowOff>19050</xdr:rowOff>
                  </from>
                  <to>
                    <xdr:col>0</xdr:col>
                    <xdr:colOff>447675</xdr:colOff>
                    <xdr:row>92</xdr:row>
                    <xdr:rowOff>266700</xdr:rowOff>
                  </to>
                </anchor>
              </controlPr>
            </control>
          </mc:Choice>
        </mc:AlternateContent>
        <mc:AlternateContent xmlns:mc="http://schemas.openxmlformats.org/markup-compatibility/2006">
          <mc:Choice Requires="x14">
            <control shapeId="1159" r:id="rId100" name="Button 135">
              <controlPr defaultSize="0" print="0" autoFill="0" autoPict="0" macro="[0]!Pulsante93_Click">
                <anchor moveWithCells="1" sizeWithCells="1">
                  <from>
                    <xdr:col>0</xdr:col>
                    <xdr:colOff>28575</xdr:colOff>
                    <xdr:row>93</xdr:row>
                    <xdr:rowOff>19050</xdr:rowOff>
                  </from>
                  <to>
                    <xdr:col>0</xdr:col>
                    <xdr:colOff>447675</xdr:colOff>
                    <xdr:row>93</xdr:row>
                    <xdr:rowOff>266700</xdr:rowOff>
                  </to>
                </anchor>
              </controlPr>
            </control>
          </mc:Choice>
        </mc:AlternateContent>
        <mc:AlternateContent xmlns:mc="http://schemas.openxmlformats.org/markup-compatibility/2006">
          <mc:Choice Requires="x14">
            <control shapeId="1160" r:id="rId101" name="Button 136">
              <controlPr defaultSize="0" print="0" autoFill="0" autoPict="0" macro="[0]!Pulsante94_Click">
                <anchor moveWithCells="1" sizeWithCells="1">
                  <from>
                    <xdr:col>0</xdr:col>
                    <xdr:colOff>28575</xdr:colOff>
                    <xdr:row>94</xdr:row>
                    <xdr:rowOff>19050</xdr:rowOff>
                  </from>
                  <to>
                    <xdr:col>0</xdr:col>
                    <xdr:colOff>447675</xdr:colOff>
                    <xdr:row>94</xdr:row>
                    <xdr:rowOff>266700</xdr:rowOff>
                  </to>
                </anchor>
              </controlPr>
            </control>
          </mc:Choice>
        </mc:AlternateContent>
        <mc:AlternateContent xmlns:mc="http://schemas.openxmlformats.org/markup-compatibility/2006">
          <mc:Choice Requires="x14">
            <control shapeId="1161" r:id="rId102" name="Button 137">
              <controlPr defaultSize="0" print="0" autoFill="0" autoPict="0" macro="[0]!Pulsante95_Click">
                <anchor moveWithCells="1" sizeWithCells="1">
                  <from>
                    <xdr:col>0</xdr:col>
                    <xdr:colOff>28575</xdr:colOff>
                    <xdr:row>95</xdr:row>
                    <xdr:rowOff>19050</xdr:rowOff>
                  </from>
                  <to>
                    <xdr:col>0</xdr:col>
                    <xdr:colOff>447675</xdr:colOff>
                    <xdr:row>95</xdr:row>
                    <xdr:rowOff>266700</xdr:rowOff>
                  </to>
                </anchor>
              </controlPr>
            </control>
          </mc:Choice>
        </mc:AlternateContent>
        <mc:AlternateContent xmlns:mc="http://schemas.openxmlformats.org/markup-compatibility/2006">
          <mc:Choice Requires="x14">
            <control shapeId="1162" r:id="rId103" name="Button 138">
              <controlPr defaultSize="0" print="0" autoFill="0" autoPict="0" macro="[0]!Pulsante96_Click">
                <anchor moveWithCells="1" sizeWithCells="1">
                  <from>
                    <xdr:col>0</xdr:col>
                    <xdr:colOff>28575</xdr:colOff>
                    <xdr:row>96</xdr:row>
                    <xdr:rowOff>19050</xdr:rowOff>
                  </from>
                  <to>
                    <xdr:col>0</xdr:col>
                    <xdr:colOff>447675</xdr:colOff>
                    <xdr:row>96</xdr:row>
                    <xdr:rowOff>266700</xdr:rowOff>
                  </to>
                </anchor>
              </controlPr>
            </control>
          </mc:Choice>
        </mc:AlternateContent>
        <mc:AlternateContent xmlns:mc="http://schemas.openxmlformats.org/markup-compatibility/2006">
          <mc:Choice Requires="x14">
            <control shapeId="1163" r:id="rId104" name="Button 139">
              <controlPr defaultSize="0" print="0" autoFill="0" autoPict="0" macro="[0]!Pulsante97_Click">
                <anchor moveWithCells="1" sizeWithCells="1">
                  <from>
                    <xdr:col>0</xdr:col>
                    <xdr:colOff>28575</xdr:colOff>
                    <xdr:row>97</xdr:row>
                    <xdr:rowOff>19050</xdr:rowOff>
                  </from>
                  <to>
                    <xdr:col>0</xdr:col>
                    <xdr:colOff>447675</xdr:colOff>
                    <xdr:row>97</xdr:row>
                    <xdr:rowOff>266700</xdr:rowOff>
                  </to>
                </anchor>
              </controlPr>
            </control>
          </mc:Choice>
        </mc:AlternateContent>
        <mc:AlternateContent xmlns:mc="http://schemas.openxmlformats.org/markup-compatibility/2006">
          <mc:Choice Requires="x14">
            <control shapeId="1164" r:id="rId105" name="Button 140">
              <controlPr defaultSize="0" print="0" autoFill="0" autoPict="0" macro="[0]!Pulsante98_Click">
                <anchor moveWithCells="1" sizeWithCells="1">
                  <from>
                    <xdr:col>0</xdr:col>
                    <xdr:colOff>28575</xdr:colOff>
                    <xdr:row>98</xdr:row>
                    <xdr:rowOff>19050</xdr:rowOff>
                  </from>
                  <to>
                    <xdr:col>0</xdr:col>
                    <xdr:colOff>447675</xdr:colOff>
                    <xdr:row>98</xdr:row>
                    <xdr:rowOff>266700</xdr:rowOff>
                  </to>
                </anchor>
              </controlPr>
            </control>
          </mc:Choice>
        </mc:AlternateContent>
        <mc:AlternateContent xmlns:mc="http://schemas.openxmlformats.org/markup-compatibility/2006">
          <mc:Choice Requires="x14">
            <control shapeId="1165" r:id="rId106" name="Button 141">
              <controlPr defaultSize="0" print="0" autoFill="0" autoPict="0" macro="[0]!Pulsante99_Click">
                <anchor moveWithCells="1" sizeWithCells="1">
                  <from>
                    <xdr:col>0</xdr:col>
                    <xdr:colOff>28575</xdr:colOff>
                    <xdr:row>99</xdr:row>
                    <xdr:rowOff>19050</xdr:rowOff>
                  </from>
                  <to>
                    <xdr:col>0</xdr:col>
                    <xdr:colOff>447675</xdr:colOff>
                    <xdr:row>99</xdr:row>
                    <xdr:rowOff>266700</xdr:rowOff>
                  </to>
                </anchor>
              </controlPr>
            </control>
          </mc:Choice>
        </mc:AlternateContent>
        <mc:AlternateContent xmlns:mc="http://schemas.openxmlformats.org/markup-compatibility/2006">
          <mc:Choice Requires="x14">
            <control shapeId="1166" r:id="rId107" name="Button 142">
              <controlPr defaultSize="0" print="0" autoFill="0" autoPict="0" macro="[0]!Pulsante100_Click">
                <anchor moveWithCells="1" sizeWithCells="1">
                  <from>
                    <xdr:col>0</xdr:col>
                    <xdr:colOff>28575</xdr:colOff>
                    <xdr:row>100</xdr:row>
                    <xdr:rowOff>19050</xdr:rowOff>
                  </from>
                  <to>
                    <xdr:col>0</xdr:col>
                    <xdr:colOff>447675</xdr:colOff>
                    <xdr:row>100</xdr:row>
                    <xdr:rowOff>266700</xdr:rowOff>
                  </to>
                </anchor>
              </controlPr>
            </control>
          </mc:Choice>
        </mc:AlternateContent>
        <mc:AlternateContent xmlns:mc="http://schemas.openxmlformats.org/markup-compatibility/2006">
          <mc:Choice Requires="x14">
            <control shapeId="1167" r:id="rId108" name="Button 143">
              <controlPr defaultSize="0" print="0" autoFill="0" autoPict="0" macro="[0]!Pulsante101_Click">
                <anchor moveWithCells="1" sizeWithCells="1">
                  <from>
                    <xdr:col>0</xdr:col>
                    <xdr:colOff>28575</xdr:colOff>
                    <xdr:row>101</xdr:row>
                    <xdr:rowOff>19050</xdr:rowOff>
                  </from>
                  <to>
                    <xdr:col>0</xdr:col>
                    <xdr:colOff>447675</xdr:colOff>
                    <xdr:row>101</xdr:row>
                    <xdr:rowOff>266700</xdr:rowOff>
                  </to>
                </anchor>
              </controlPr>
            </control>
          </mc:Choice>
        </mc:AlternateContent>
        <mc:AlternateContent xmlns:mc="http://schemas.openxmlformats.org/markup-compatibility/2006">
          <mc:Choice Requires="x14">
            <control shapeId="1168" r:id="rId109" name="Button 144">
              <controlPr defaultSize="0" print="0" autoFill="0" autoPict="0" macro="[0]!Pulsante102_Click">
                <anchor moveWithCells="1" sizeWithCells="1">
                  <from>
                    <xdr:col>0</xdr:col>
                    <xdr:colOff>28575</xdr:colOff>
                    <xdr:row>102</xdr:row>
                    <xdr:rowOff>19050</xdr:rowOff>
                  </from>
                  <to>
                    <xdr:col>0</xdr:col>
                    <xdr:colOff>447675</xdr:colOff>
                    <xdr:row>102</xdr:row>
                    <xdr:rowOff>266700</xdr:rowOff>
                  </to>
                </anchor>
              </controlPr>
            </control>
          </mc:Choice>
        </mc:AlternateContent>
        <mc:AlternateContent xmlns:mc="http://schemas.openxmlformats.org/markup-compatibility/2006">
          <mc:Choice Requires="x14">
            <control shapeId="1169" r:id="rId110" name="Button 145">
              <controlPr defaultSize="0" print="0" autoFill="0" autoPict="0" macro="[0]!Pulsante103_Click">
                <anchor moveWithCells="1" sizeWithCells="1">
                  <from>
                    <xdr:col>0</xdr:col>
                    <xdr:colOff>28575</xdr:colOff>
                    <xdr:row>103</xdr:row>
                    <xdr:rowOff>19050</xdr:rowOff>
                  </from>
                  <to>
                    <xdr:col>0</xdr:col>
                    <xdr:colOff>447675</xdr:colOff>
                    <xdr:row>103</xdr:row>
                    <xdr:rowOff>266700</xdr:rowOff>
                  </to>
                </anchor>
              </controlPr>
            </control>
          </mc:Choice>
        </mc:AlternateContent>
        <mc:AlternateContent xmlns:mc="http://schemas.openxmlformats.org/markup-compatibility/2006">
          <mc:Choice Requires="x14">
            <control shapeId="1170" r:id="rId111" name="Button 146">
              <controlPr defaultSize="0" print="0" autoFill="0" autoPict="0" macro="[0]!Pulsante104_Click">
                <anchor moveWithCells="1" sizeWithCells="1">
                  <from>
                    <xdr:col>0</xdr:col>
                    <xdr:colOff>28575</xdr:colOff>
                    <xdr:row>104</xdr:row>
                    <xdr:rowOff>19050</xdr:rowOff>
                  </from>
                  <to>
                    <xdr:col>0</xdr:col>
                    <xdr:colOff>447675</xdr:colOff>
                    <xdr:row>104</xdr:row>
                    <xdr:rowOff>266700</xdr:rowOff>
                  </to>
                </anchor>
              </controlPr>
            </control>
          </mc:Choice>
        </mc:AlternateContent>
        <mc:AlternateContent xmlns:mc="http://schemas.openxmlformats.org/markup-compatibility/2006">
          <mc:Choice Requires="x14">
            <control shapeId="1171" r:id="rId112" name="Button 147">
              <controlPr defaultSize="0" print="0" autoFill="0" autoPict="0" macro="[0]!Pulsante105_Click">
                <anchor moveWithCells="1" sizeWithCells="1">
                  <from>
                    <xdr:col>0</xdr:col>
                    <xdr:colOff>28575</xdr:colOff>
                    <xdr:row>105</xdr:row>
                    <xdr:rowOff>19050</xdr:rowOff>
                  </from>
                  <to>
                    <xdr:col>0</xdr:col>
                    <xdr:colOff>447675</xdr:colOff>
                    <xdr:row>105</xdr:row>
                    <xdr:rowOff>266700</xdr:rowOff>
                  </to>
                </anchor>
              </controlPr>
            </control>
          </mc:Choice>
        </mc:AlternateContent>
        <mc:AlternateContent xmlns:mc="http://schemas.openxmlformats.org/markup-compatibility/2006">
          <mc:Choice Requires="x14">
            <control shapeId="1172" r:id="rId113" name="Button 148">
              <controlPr defaultSize="0" print="0" autoFill="0" autoPict="0" macro="[0]!Pulsante106_Click">
                <anchor moveWithCells="1" sizeWithCells="1">
                  <from>
                    <xdr:col>0</xdr:col>
                    <xdr:colOff>28575</xdr:colOff>
                    <xdr:row>106</xdr:row>
                    <xdr:rowOff>19050</xdr:rowOff>
                  </from>
                  <to>
                    <xdr:col>0</xdr:col>
                    <xdr:colOff>447675</xdr:colOff>
                    <xdr:row>106</xdr:row>
                    <xdr:rowOff>266700</xdr:rowOff>
                  </to>
                </anchor>
              </controlPr>
            </control>
          </mc:Choice>
        </mc:AlternateContent>
        <mc:AlternateContent xmlns:mc="http://schemas.openxmlformats.org/markup-compatibility/2006">
          <mc:Choice Requires="x14">
            <control shapeId="1173" r:id="rId114" name="Button 149">
              <controlPr defaultSize="0" print="0" autoFill="0" autoPict="0" macro="[0]!Pulsante107_Click">
                <anchor moveWithCells="1" sizeWithCells="1">
                  <from>
                    <xdr:col>0</xdr:col>
                    <xdr:colOff>28575</xdr:colOff>
                    <xdr:row>107</xdr:row>
                    <xdr:rowOff>19050</xdr:rowOff>
                  </from>
                  <to>
                    <xdr:col>0</xdr:col>
                    <xdr:colOff>447675</xdr:colOff>
                    <xdr:row>107</xdr:row>
                    <xdr:rowOff>266700</xdr:rowOff>
                  </to>
                </anchor>
              </controlPr>
            </control>
          </mc:Choice>
        </mc:AlternateContent>
        <mc:AlternateContent xmlns:mc="http://schemas.openxmlformats.org/markup-compatibility/2006">
          <mc:Choice Requires="x14">
            <control shapeId="1174" r:id="rId115" name="Button 150">
              <controlPr defaultSize="0" print="0" autoFill="0" autoPict="0" macro="[0]!Pulsante108_Click">
                <anchor moveWithCells="1" sizeWithCells="1">
                  <from>
                    <xdr:col>0</xdr:col>
                    <xdr:colOff>28575</xdr:colOff>
                    <xdr:row>108</xdr:row>
                    <xdr:rowOff>19050</xdr:rowOff>
                  </from>
                  <to>
                    <xdr:col>0</xdr:col>
                    <xdr:colOff>447675</xdr:colOff>
                    <xdr:row>108</xdr:row>
                    <xdr:rowOff>266700</xdr:rowOff>
                  </to>
                </anchor>
              </controlPr>
            </control>
          </mc:Choice>
        </mc:AlternateContent>
        <mc:AlternateContent xmlns:mc="http://schemas.openxmlformats.org/markup-compatibility/2006">
          <mc:Choice Requires="x14">
            <control shapeId="1175" r:id="rId116" name="Button 151">
              <controlPr defaultSize="0" print="0" autoFill="0" autoPict="0" macro="[0]!Pulsante109_Click">
                <anchor moveWithCells="1" sizeWithCells="1">
                  <from>
                    <xdr:col>0</xdr:col>
                    <xdr:colOff>28575</xdr:colOff>
                    <xdr:row>109</xdr:row>
                    <xdr:rowOff>19050</xdr:rowOff>
                  </from>
                  <to>
                    <xdr:col>0</xdr:col>
                    <xdr:colOff>447675</xdr:colOff>
                    <xdr:row>109</xdr:row>
                    <xdr:rowOff>266700</xdr:rowOff>
                  </to>
                </anchor>
              </controlPr>
            </control>
          </mc:Choice>
        </mc:AlternateContent>
        <mc:AlternateContent xmlns:mc="http://schemas.openxmlformats.org/markup-compatibility/2006">
          <mc:Choice Requires="x14">
            <control shapeId="1176" r:id="rId117" name="Button 152">
              <controlPr defaultSize="0" print="0" autoFill="0" autoPict="0" macro="[0]!Pulsante110_Click">
                <anchor moveWithCells="1" sizeWithCells="1">
                  <from>
                    <xdr:col>0</xdr:col>
                    <xdr:colOff>28575</xdr:colOff>
                    <xdr:row>110</xdr:row>
                    <xdr:rowOff>19050</xdr:rowOff>
                  </from>
                  <to>
                    <xdr:col>0</xdr:col>
                    <xdr:colOff>447675</xdr:colOff>
                    <xdr:row>110</xdr:row>
                    <xdr:rowOff>266700</xdr:rowOff>
                  </to>
                </anchor>
              </controlPr>
            </control>
          </mc:Choice>
        </mc:AlternateContent>
        <mc:AlternateContent xmlns:mc="http://schemas.openxmlformats.org/markup-compatibility/2006">
          <mc:Choice Requires="x14">
            <control shapeId="1177" r:id="rId118" name="Button 153">
              <controlPr defaultSize="0" print="0" autoFill="0" autoPict="0" macro="[0]!Pulsante111_Click">
                <anchor moveWithCells="1" sizeWithCells="1">
                  <from>
                    <xdr:col>0</xdr:col>
                    <xdr:colOff>28575</xdr:colOff>
                    <xdr:row>111</xdr:row>
                    <xdr:rowOff>19050</xdr:rowOff>
                  </from>
                  <to>
                    <xdr:col>0</xdr:col>
                    <xdr:colOff>447675</xdr:colOff>
                    <xdr:row>111</xdr:row>
                    <xdr:rowOff>266700</xdr:rowOff>
                  </to>
                </anchor>
              </controlPr>
            </control>
          </mc:Choice>
        </mc:AlternateContent>
        <mc:AlternateContent xmlns:mc="http://schemas.openxmlformats.org/markup-compatibility/2006">
          <mc:Choice Requires="x14">
            <control shapeId="1178" r:id="rId119" name="Button 154">
              <controlPr defaultSize="0" print="0" autoFill="0" autoPict="0" macro="[0]!Pulsante112_Click">
                <anchor moveWithCells="1" sizeWithCells="1">
                  <from>
                    <xdr:col>0</xdr:col>
                    <xdr:colOff>28575</xdr:colOff>
                    <xdr:row>112</xdr:row>
                    <xdr:rowOff>19050</xdr:rowOff>
                  </from>
                  <to>
                    <xdr:col>0</xdr:col>
                    <xdr:colOff>447675</xdr:colOff>
                    <xdr:row>112</xdr:row>
                    <xdr:rowOff>266700</xdr:rowOff>
                  </to>
                </anchor>
              </controlPr>
            </control>
          </mc:Choice>
        </mc:AlternateContent>
        <mc:AlternateContent xmlns:mc="http://schemas.openxmlformats.org/markup-compatibility/2006">
          <mc:Choice Requires="x14">
            <control shapeId="1179" r:id="rId120" name="Button 155">
              <controlPr defaultSize="0" print="0" autoFill="0" autoPict="0" macro="[0]!Pulsante113_Click">
                <anchor moveWithCells="1" sizeWithCells="1">
                  <from>
                    <xdr:col>0</xdr:col>
                    <xdr:colOff>28575</xdr:colOff>
                    <xdr:row>113</xdr:row>
                    <xdr:rowOff>19050</xdr:rowOff>
                  </from>
                  <to>
                    <xdr:col>0</xdr:col>
                    <xdr:colOff>447675</xdr:colOff>
                    <xdr:row>113</xdr:row>
                    <xdr:rowOff>266700</xdr:rowOff>
                  </to>
                </anchor>
              </controlPr>
            </control>
          </mc:Choice>
        </mc:AlternateContent>
        <mc:AlternateContent xmlns:mc="http://schemas.openxmlformats.org/markup-compatibility/2006">
          <mc:Choice Requires="x14">
            <control shapeId="1180" r:id="rId121" name="Button 156">
              <controlPr defaultSize="0" print="0" autoFill="0" autoPict="0" macro="[0]!Pulsante114_Click">
                <anchor moveWithCells="1" sizeWithCells="1">
                  <from>
                    <xdr:col>0</xdr:col>
                    <xdr:colOff>28575</xdr:colOff>
                    <xdr:row>114</xdr:row>
                    <xdr:rowOff>19050</xdr:rowOff>
                  </from>
                  <to>
                    <xdr:col>0</xdr:col>
                    <xdr:colOff>447675</xdr:colOff>
                    <xdr:row>114</xdr:row>
                    <xdr:rowOff>266700</xdr:rowOff>
                  </to>
                </anchor>
              </controlPr>
            </control>
          </mc:Choice>
        </mc:AlternateContent>
        <mc:AlternateContent xmlns:mc="http://schemas.openxmlformats.org/markup-compatibility/2006">
          <mc:Choice Requires="x14">
            <control shapeId="1181" r:id="rId122" name="Button 157">
              <controlPr defaultSize="0" print="0" autoFill="0" autoPict="0" macro="[0]!Pulsante115_Click">
                <anchor moveWithCells="1" sizeWithCells="1">
                  <from>
                    <xdr:col>0</xdr:col>
                    <xdr:colOff>28575</xdr:colOff>
                    <xdr:row>115</xdr:row>
                    <xdr:rowOff>19050</xdr:rowOff>
                  </from>
                  <to>
                    <xdr:col>0</xdr:col>
                    <xdr:colOff>447675</xdr:colOff>
                    <xdr:row>115</xdr:row>
                    <xdr:rowOff>266700</xdr:rowOff>
                  </to>
                </anchor>
              </controlPr>
            </control>
          </mc:Choice>
        </mc:AlternateContent>
        <mc:AlternateContent xmlns:mc="http://schemas.openxmlformats.org/markup-compatibility/2006">
          <mc:Choice Requires="x14">
            <control shapeId="1182" r:id="rId123" name="Button 158">
              <controlPr defaultSize="0" print="0" autoFill="0" autoPict="0" macro="[0]!Pulsante116_Click">
                <anchor moveWithCells="1" sizeWithCells="1">
                  <from>
                    <xdr:col>0</xdr:col>
                    <xdr:colOff>28575</xdr:colOff>
                    <xdr:row>116</xdr:row>
                    <xdr:rowOff>19050</xdr:rowOff>
                  </from>
                  <to>
                    <xdr:col>0</xdr:col>
                    <xdr:colOff>447675</xdr:colOff>
                    <xdr:row>116</xdr:row>
                    <xdr:rowOff>266700</xdr:rowOff>
                  </to>
                </anchor>
              </controlPr>
            </control>
          </mc:Choice>
        </mc:AlternateContent>
        <mc:AlternateContent xmlns:mc="http://schemas.openxmlformats.org/markup-compatibility/2006">
          <mc:Choice Requires="x14">
            <control shapeId="1183" r:id="rId124" name="Button 159">
              <controlPr defaultSize="0" print="0" autoFill="0" autoPict="0" macro="[0]!Pulsante117_Click">
                <anchor moveWithCells="1" sizeWithCells="1">
                  <from>
                    <xdr:col>0</xdr:col>
                    <xdr:colOff>28575</xdr:colOff>
                    <xdr:row>117</xdr:row>
                    <xdr:rowOff>19050</xdr:rowOff>
                  </from>
                  <to>
                    <xdr:col>0</xdr:col>
                    <xdr:colOff>447675</xdr:colOff>
                    <xdr:row>117</xdr:row>
                    <xdr:rowOff>266700</xdr:rowOff>
                  </to>
                </anchor>
              </controlPr>
            </control>
          </mc:Choice>
        </mc:AlternateContent>
        <mc:AlternateContent xmlns:mc="http://schemas.openxmlformats.org/markup-compatibility/2006">
          <mc:Choice Requires="x14">
            <control shapeId="1184" r:id="rId125" name="Button 160">
              <controlPr defaultSize="0" print="0" autoFill="0" autoPict="0" macro="[0]!Pulsante118_Click">
                <anchor moveWithCells="1" sizeWithCells="1">
                  <from>
                    <xdr:col>0</xdr:col>
                    <xdr:colOff>28575</xdr:colOff>
                    <xdr:row>118</xdr:row>
                    <xdr:rowOff>19050</xdr:rowOff>
                  </from>
                  <to>
                    <xdr:col>0</xdr:col>
                    <xdr:colOff>447675</xdr:colOff>
                    <xdr:row>118</xdr:row>
                    <xdr:rowOff>266700</xdr:rowOff>
                  </to>
                </anchor>
              </controlPr>
            </control>
          </mc:Choice>
        </mc:AlternateContent>
        <mc:AlternateContent xmlns:mc="http://schemas.openxmlformats.org/markup-compatibility/2006">
          <mc:Choice Requires="x14">
            <control shapeId="1185" r:id="rId126" name="Button 161">
              <controlPr defaultSize="0" print="0" autoFill="0" autoPict="0" macro="[0]!Pulsante119_Click">
                <anchor moveWithCells="1" sizeWithCells="1">
                  <from>
                    <xdr:col>0</xdr:col>
                    <xdr:colOff>28575</xdr:colOff>
                    <xdr:row>119</xdr:row>
                    <xdr:rowOff>19050</xdr:rowOff>
                  </from>
                  <to>
                    <xdr:col>0</xdr:col>
                    <xdr:colOff>447675</xdr:colOff>
                    <xdr:row>119</xdr:row>
                    <xdr:rowOff>266700</xdr:rowOff>
                  </to>
                </anchor>
              </controlPr>
            </control>
          </mc:Choice>
        </mc:AlternateContent>
        <mc:AlternateContent xmlns:mc="http://schemas.openxmlformats.org/markup-compatibility/2006">
          <mc:Choice Requires="x14">
            <control shapeId="1186" r:id="rId127" name="Button 162">
              <controlPr defaultSize="0" print="0" autoFill="0" autoPict="0" macro="[0]!Pulsante120_Click">
                <anchor moveWithCells="1" sizeWithCells="1">
                  <from>
                    <xdr:col>0</xdr:col>
                    <xdr:colOff>28575</xdr:colOff>
                    <xdr:row>120</xdr:row>
                    <xdr:rowOff>19050</xdr:rowOff>
                  </from>
                  <to>
                    <xdr:col>0</xdr:col>
                    <xdr:colOff>447675</xdr:colOff>
                    <xdr:row>120</xdr:row>
                    <xdr:rowOff>266700</xdr:rowOff>
                  </to>
                </anchor>
              </controlPr>
            </control>
          </mc:Choice>
        </mc:AlternateContent>
        <mc:AlternateContent xmlns:mc="http://schemas.openxmlformats.org/markup-compatibility/2006">
          <mc:Choice Requires="x14">
            <control shapeId="1187" r:id="rId128" name="Button 163">
              <controlPr defaultSize="0" print="0" autoFill="0" autoPict="0" macro="[0]!Pulsante121_Click">
                <anchor moveWithCells="1" sizeWithCells="1">
                  <from>
                    <xdr:col>0</xdr:col>
                    <xdr:colOff>28575</xdr:colOff>
                    <xdr:row>121</xdr:row>
                    <xdr:rowOff>19050</xdr:rowOff>
                  </from>
                  <to>
                    <xdr:col>0</xdr:col>
                    <xdr:colOff>447675</xdr:colOff>
                    <xdr:row>121</xdr:row>
                    <xdr:rowOff>266700</xdr:rowOff>
                  </to>
                </anchor>
              </controlPr>
            </control>
          </mc:Choice>
        </mc:AlternateContent>
        <mc:AlternateContent xmlns:mc="http://schemas.openxmlformats.org/markup-compatibility/2006">
          <mc:Choice Requires="x14">
            <control shapeId="1188" r:id="rId129" name="Button 164">
              <controlPr defaultSize="0" print="0" autoFill="0" autoPict="0" macro="[0]!Pulsante122_Click">
                <anchor moveWithCells="1" sizeWithCells="1">
                  <from>
                    <xdr:col>0</xdr:col>
                    <xdr:colOff>28575</xdr:colOff>
                    <xdr:row>122</xdr:row>
                    <xdr:rowOff>19050</xdr:rowOff>
                  </from>
                  <to>
                    <xdr:col>0</xdr:col>
                    <xdr:colOff>447675</xdr:colOff>
                    <xdr:row>122</xdr:row>
                    <xdr:rowOff>266700</xdr:rowOff>
                  </to>
                </anchor>
              </controlPr>
            </control>
          </mc:Choice>
        </mc:AlternateContent>
        <mc:AlternateContent xmlns:mc="http://schemas.openxmlformats.org/markup-compatibility/2006">
          <mc:Choice Requires="x14">
            <control shapeId="1189" r:id="rId130" name="Button 165">
              <controlPr defaultSize="0" print="0" autoFill="0" autoPict="0" macro="[0]!Pulsante123_Click">
                <anchor moveWithCells="1" sizeWithCells="1">
                  <from>
                    <xdr:col>0</xdr:col>
                    <xdr:colOff>28575</xdr:colOff>
                    <xdr:row>123</xdr:row>
                    <xdr:rowOff>19050</xdr:rowOff>
                  </from>
                  <to>
                    <xdr:col>0</xdr:col>
                    <xdr:colOff>447675</xdr:colOff>
                    <xdr:row>123</xdr:row>
                    <xdr:rowOff>266700</xdr:rowOff>
                  </to>
                </anchor>
              </controlPr>
            </control>
          </mc:Choice>
        </mc:AlternateContent>
        <mc:AlternateContent xmlns:mc="http://schemas.openxmlformats.org/markup-compatibility/2006">
          <mc:Choice Requires="x14">
            <control shapeId="1190" r:id="rId131" name="Button 166">
              <controlPr defaultSize="0" print="0" autoFill="0" autoPict="0" macro="[0]!Pulsante124_Click">
                <anchor moveWithCells="1" sizeWithCells="1">
                  <from>
                    <xdr:col>0</xdr:col>
                    <xdr:colOff>28575</xdr:colOff>
                    <xdr:row>124</xdr:row>
                    <xdr:rowOff>19050</xdr:rowOff>
                  </from>
                  <to>
                    <xdr:col>0</xdr:col>
                    <xdr:colOff>447675</xdr:colOff>
                    <xdr:row>124</xdr:row>
                    <xdr:rowOff>266700</xdr:rowOff>
                  </to>
                </anchor>
              </controlPr>
            </control>
          </mc:Choice>
        </mc:AlternateContent>
        <mc:AlternateContent xmlns:mc="http://schemas.openxmlformats.org/markup-compatibility/2006">
          <mc:Choice Requires="x14">
            <control shapeId="1191" r:id="rId132" name="Button 167">
              <controlPr defaultSize="0" print="0" autoFill="0" autoPict="0" macro="[0]!Pulsante125_Click">
                <anchor moveWithCells="1" sizeWithCells="1">
                  <from>
                    <xdr:col>0</xdr:col>
                    <xdr:colOff>28575</xdr:colOff>
                    <xdr:row>125</xdr:row>
                    <xdr:rowOff>19050</xdr:rowOff>
                  </from>
                  <to>
                    <xdr:col>0</xdr:col>
                    <xdr:colOff>447675</xdr:colOff>
                    <xdr:row>125</xdr:row>
                    <xdr:rowOff>266700</xdr:rowOff>
                  </to>
                </anchor>
              </controlPr>
            </control>
          </mc:Choice>
        </mc:AlternateContent>
        <mc:AlternateContent xmlns:mc="http://schemas.openxmlformats.org/markup-compatibility/2006">
          <mc:Choice Requires="x14">
            <control shapeId="1192" r:id="rId133" name="Button 168">
              <controlPr defaultSize="0" print="0" autoFill="0" autoPict="0" macro="[0]!Pulsante126_Click">
                <anchor moveWithCells="1" sizeWithCells="1">
                  <from>
                    <xdr:col>0</xdr:col>
                    <xdr:colOff>28575</xdr:colOff>
                    <xdr:row>126</xdr:row>
                    <xdr:rowOff>19050</xdr:rowOff>
                  </from>
                  <to>
                    <xdr:col>0</xdr:col>
                    <xdr:colOff>447675</xdr:colOff>
                    <xdr:row>126</xdr:row>
                    <xdr:rowOff>266700</xdr:rowOff>
                  </to>
                </anchor>
              </controlPr>
            </control>
          </mc:Choice>
        </mc:AlternateContent>
        <mc:AlternateContent xmlns:mc="http://schemas.openxmlformats.org/markup-compatibility/2006">
          <mc:Choice Requires="x14">
            <control shapeId="1193" r:id="rId134" name="Button 169">
              <controlPr defaultSize="0" print="0" autoFill="0" autoPict="0" macro="[0]!Pulsante127_Click">
                <anchor moveWithCells="1" sizeWithCells="1">
                  <from>
                    <xdr:col>0</xdr:col>
                    <xdr:colOff>28575</xdr:colOff>
                    <xdr:row>127</xdr:row>
                    <xdr:rowOff>19050</xdr:rowOff>
                  </from>
                  <to>
                    <xdr:col>0</xdr:col>
                    <xdr:colOff>447675</xdr:colOff>
                    <xdr:row>127</xdr:row>
                    <xdr:rowOff>266700</xdr:rowOff>
                  </to>
                </anchor>
              </controlPr>
            </control>
          </mc:Choice>
        </mc:AlternateContent>
        <mc:AlternateContent xmlns:mc="http://schemas.openxmlformats.org/markup-compatibility/2006">
          <mc:Choice Requires="x14">
            <control shapeId="1194" r:id="rId135" name="Button 170">
              <controlPr defaultSize="0" print="0" autoFill="0" autoPict="0" macro="[0]!Pulsante128_Click">
                <anchor moveWithCells="1" sizeWithCells="1">
                  <from>
                    <xdr:col>0</xdr:col>
                    <xdr:colOff>28575</xdr:colOff>
                    <xdr:row>128</xdr:row>
                    <xdr:rowOff>19050</xdr:rowOff>
                  </from>
                  <to>
                    <xdr:col>0</xdr:col>
                    <xdr:colOff>447675</xdr:colOff>
                    <xdr:row>128</xdr:row>
                    <xdr:rowOff>266700</xdr:rowOff>
                  </to>
                </anchor>
              </controlPr>
            </control>
          </mc:Choice>
        </mc:AlternateContent>
        <mc:AlternateContent xmlns:mc="http://schemas.openxmlformats.org/markup-compatibility/2006">
          <mc:Choice Requires="x14">
            <control shapeId="1195" r:id="rId136" name="Button 171">
              <controlPr defaultSize="0" print="0" autoFill="0" autoPict="0" macro="[0]!Pulsante129_Click">
                <anchor moveWithCells="1" sizeWithCells="1">
                  <from>
                    <xdr:col>0</xdr:col>
                    <xdr:colOff>28575</xdr:colOff>
                    <xdr:row>129</xdr:row>
                    <xdr:rowOff>19050</xdr:rowOff>
                  </from>
                  <to>
                    <xdr:col>0</xdr:col>
                    <xdr:colOff>447675</xdr:colOff>
                    <xdr:row>129</xdr:row>
                    <xdr:rowOff>266700</xdr:rowOff>
                  </to>
                </anchor>
              </controlPr>
            </control>
          </mc:Choice>
        </mc:AlternateContent>
        <mc:AlternateContent xmlns:mc="http://schemas.openxmlformats.org/markup-compatibility/2006">
          <mc:Choice Requires="x14">
            <control shapeId="1196" r:id="rId137" name="Button 172">
              <controlPr defaultSize="0" print="0" autoFill="0" autoPict="0" macro="[0]!Pulsante130_Click">
                <anchor moveWithCells="1" sizeWithCells="1">
                  <from>
                    <xdr:col>0</xdr:col>
                    <xdr:colOff>28575</xdr:colOff>
                    <xdr:row>130</xdr:row>
                    <xdr:rowOff>19050</xdr:rowOff>
                  </from>
                  <to>
                    <xdr:col>0</xdr:col>
                    <xdr:colOff>447675</xdr:colOff>
                    <xdr:row>130</xdr:row>
                    <xdr:rowOff>266700</xdr:rowOff>
                  </to>
                </anchor>
              </controlPr>
            </control>
          </mc:Choice>
        </mc:AlternateContent>
        <mc:AlternateContent xmlns:mc="http://schemas.openxmlformats.org/markup-compatibility/2006">
          <mc:Choice Requires="x14">
            <control shapeId="1197" r:id="rId138" name="Button 173">
              <controlPr defaultSize="0" print="0" autoFill="0" autoPict="0" macro="[0]!Pulsante131_Click">
                <anchor moveWithCells="1" sizeWithCells="1">
                  <from>
                    <xdr:col>0</xdr:col>
                    <xdr:colOff>28575</xdr:colOff>
                    <xdr:row>131</xdr:row>
                    <xdr:rowOff>19050</xdr:rowOff>
                  </from>
                  <to>
                    <xdr:col>0</xdr:col>
                    <xdr:colOff>447675</xdr:colOff>
                    <xdr:row>131</xdr:row>
                    <xdr:rowOff>266700</xdr:rowOff>
                  </to>
                </anchor>
              </controlPr>
            </control>
          </mc:Choice>
        </mc:AlternateContent>
        <mc:AlternateContent xmlns:mc="http://schemas.openxmlformats.org/markup-compatibility/2006">
          <mc:Choice Requires="x14">
            <control shapeId="1198" r:id="rId139" name="Button 174">
              <controlPr defaultSize="0" print="0" autoFill="0" autoPict="0" macro="[0]!Pulsante132_Click">
                <anchor moveWithCells="1" sizeWithCells="1">
                  <from>
                    <xdr:col>0</xdr:col>
                    <xdr:colOff>28575</xdr:colOff>
                    <xdr:row>132</xdr:row>
                    <xdr:rowOff>19050</xdr:rowOff>
                  </from>
                  <to>
                    <xdr:col>0</xdr:col>
                    <xdr:colOff>447675</xdr:colOff>
                    <xdr:row>132</xdr:row>
                    <xdr:rowOff>266700</xdr:rowOff>
                  </to>
                </anchor>
              </controlPr>
            </control>
          </mc:Choice>
        </mc:AlternateContent>
        <mc:AlternateContent xmlns:mc="http://schemas.openxmlformats.org/markup-compatibility/2006">
          <mc:Choice Requires="x14">
            <control shapeId="1199" r:id="rId140" name="Button 175">
              <controlPr defaultSize="0" print="0" autoFill="0" autoPict="0" macro="[0]!Pulsante133_Click">
                <anchor moveWithCells="1" sizeWithCells="1">
                  <from>
                    <xdr:col>0</xdr:col>
                    <xdr:colOff>28575</xdr:colOff>
                    <xdr:row>133</xdr:row>
                    <xdr:rowOff>19050</xdr:rowOff>
                  </from>
                  <to>
                    <xdr:col>0</xdr:col>
                    <xdr:colOff>447675</xdr:colOff>
                    <xdr:row>133</xdr:row>
                    <xdr:rowOff>266700</xdr:rowOff>
                  </to>
                </anchor>
              </controlPr>
            </control>
          </mc:Choice>
        </mc:AlternateContent>
        <mc:AlternateContent xmlns:mc="http://schemas.openxmlformats.org/markup-compatibility/2006">
          <mc:Choice Requires="x14">
            <control shapeId="1200" r:id="rId141" name="Button 176">
              <controlPr defaultSize="0" print="0" autoFill="0" autoPict="0" macro="[0]!Pulsante134_Click">
                <anchor moveWithCells="1" sizeWithCells="1">
                  <from>
                    <xdr:col>0</xdr:col>
                    <xdr:colOff>28575</xdr:colOff>
                    <xdr:row>134</xdr:row>
                    <xdr:rowOff>19050</xdr:rowOff>
                  </from>
                  <to>
                    <xdr:col>0</xdr:col>
                    <xdr:colOff>447675</xdr:colOff>
                    <xdr:row>134</xdr:row>
                    <xdr:rowOff>266700</xdr:rowOff>
                  </to>
                </anchor>
              </controlPr>
            </control>
          </mc:Choice>
        </mc:AlternateContent>
        <mc:AlternateContent xmlns:mc="http://schemas.openxmlformats.org/markup-compatibility/2006">
          <mc:Choice Requires="x14">
            <control shapeId="1201" r:id="rId142" name="Button 177">
              <controlPr defaultSize="0" print="0" autoFill="0" autoPict="0" macro="[0]!Pulsante135_Click">
                <anchor moveWithCells="1" sizeWithCells="1">
                  <from>
                    <xdr:col>0</xdr:col>
                    <xdr:colOff>28575</xdr:colOff>
                    <xdr:row>135</xdr:row>
                    <xdr:rowOff>19050</xdr:rowOff>
                  </from>
                  <to>
                    <xdr:col>0</xdr:col>
                    <xdr:colOff>447675</xdr:colOff>
                    <xdr:row>135</xdr:row>
                    <xdr:rowOff>266700</xdr:rowOff>
                  </to>
                </anchor>
              </controlPr>
            </control>
          </mc:Choice>
        </mc:AlternateContent>
        <mc:AlternateContent xmlns:mc="http://schemas.openxmlformats.org/markup-compatibility/2006">
          <mc:Choice Requires="x14">
            <control shapeId="1202" r:id="rId143" name="Button 178">
              <controlPr defaultSize="0" print="0" autoFill="0" autoPict="0" macro="[0]!Pulsante136_Click">
                <anchor moveWithCells="1" sizeWithCells="1">
                  <from>
                    <xdr:col>0</xdr:col>
                    <xdr:colOff>28575</xdr:colOff>
                    <xdr:row>136</xdr:row>
                    <xdr:rowOff>19050</xdr:rowOff>
                  </from>
                  <to>
                    <xdr:col>0</xdr:col>
                    <xdr:colOff>447675</xdr:colOff>
                    <xdr:row>136</xdr:row>
                    <xdr:rowOff>266700</xdr:rowOff>
                  </to>
                </anchor>
              </controlPr>
            </control>
          </mc:Choice>
        </mc:AlternateContent>
        <mc:AlternateContent xmlns:mc="http://schemas.openxmlformats.org/markup-compatibility/2006">
          <mc:Choice Requires="x14">
            <control shapeId="1203" r:id="rId144" name="Button 179">
              <controlPr defaultSize="0" print="0" autoFill="0" autoPict="0" macro="[0]!Pulsante137_Click">
                <anchor moveWithCells="1" sizeWithCells="1">
                  <from>
                    <xdr:col>0</xdr:col>
                    <xdr:colOff>28575</xdr:colOff>
                    <xdr:row>137</xdr:row>
                    <xdr:rowOff>19050</xdr:rowOff>
                  </from>
                  <to>
                    <xdr:col>0</xdr:col>
                    <xdr:colOff>447675</xdr:colOff>
                    <xdr:row>137</xdr:row>
                    <xdr:rowOff>266700</xdr:rowOff>
                  </to>
                </anchor>
              </controlPr>
            </control>
          </mc:Choice>
        </mc:AlternateContent>
        <mc:AlternateContent xmlns:mc="http://schemas.openxmlformats.org/markup-compatibility/2006">
          <mc:Choice Requires="x14">
            <control shapeId="1204" r:id="rId145" name="Button 180">
              <controlPr defaultSize="0" print="0" autoFill="0" autoPict="0" macro="[0]!Pulsante138_Click">
                <anchor moveWithCells="1" sizeWithCells="1">
                  <from>
                    <xdr:col>0</xdr:col>
                    <xdr:colOff>28575</xdr:colOff>
                    <xdr:row>138</xdr:row>
                    <xdr:rowOff>19050</xdr:rowOff>
                  </from>
                  <to>
                    <xdr:col>0</xdr:col>
                    <xdr:colOff>447675</xdr:colOff>
                    <xdr:row>138</xdr:row>
                    <xdr:rowOff>266700</xdr:rowOff>
                  </to>
                </anchor>
              </controlPr>
            </control>
          </mc:Choice>
        </mc:AlternateContent>
        <mc:AlternateContent xmlns:mc="http://schemas.openxmlformats.org/markup-compatibility/2006">
          <mc:Choice Requires="x14">
            <control shapeId="1205" r:id="rId146" name="Button 181">
              <controlPr defaultSize="0" print="0" autoFill="0" autoPict="0" macro="[0]!Pulsante139_Click">
                <anchor moveWithCells="1" sizeWithCells="1">
                  <from>
                    <xdr:col>0</xdr:col>
                    <xdr:colOff>28575</xdr:colOff>
                    <xdr:row>139</xdr:row>
                    <xdr:rowOff>19050</xdr:rowOff>
                  </from>
                  <to>
                    <xdr:col>0</xdr:col>
                    <xdr:colOff>447675</xdr:colOff>
                    <xdr:row>139</xdr:row>
                    <xdr:rowOff>266700</xdr:rowOff>
                  </to>
                </anchor>
              </controlPr>
            </control>
          </mc:Choice>
        </mc:AlternateContent>
        <mc:AlternateContent xmlns:mc="http://schemas.openxmlformats.org/markup-compatibility/2006">
          <mc:Choice Requires="x14">
            <control shapeId="1206" r:id="rId147" name="Button 182">
              <controlPr defaultSize="0" print="0" autoFill="0" autoPict="0" macro="[0]!Pulsante140_Click">
                <anchor moveWithCells="1" sizeWithCells="1">
                  <from>
                    <xdr:col>0</xdr:col>
                    <xdr:colOff>28575</xdr:colOff>
                    <xdr:row>140</xdr:row>
                    <xdr:rowOff>19050</xdr:rowOff>
                  </from>
                  <to>
                    <xdr:col>0</xdr:col>
                    <xdr:colOff>447675</xdr:colOff>
                    <xdr:row>140</xdr:row>
                    <xdr:rowOff>266700</xdr:rowOff>
                  </to>
                </anchor>
              </controlPr>
            </control>
          </mc:Choice>
        </mc:AlternateContent>
        <mc:AlternateContent xmlns:mc="http://schemas.openxmlformats.org/markup-compatibility/2006">
          <mc:Choice Requires="x14">
            <control shapeId="1207" r:id="rId148" name="Button 183">
              <controlPr defaultSize="0" print="0" autoFill="0" autoPict="0" macro="[0]!Pulsante141_Click">
                <anchor moveWithCells="1" sizeWithCells="1">
                  <from>
                    <xdr:col>0</xdr:col>
                    <xdr:colOff>28575</xdr:colOff>
                    <xdr:row>141</xdr:row>
                    <xdr:rowOff>19050</xdr:rowOff>
                  </from>
                  <to>
                    <xdr:col>0</xdr:col>
                    <xdr:colOff>447675</xdr:colOff>
                    <xdr:row>141</xdr:row>
                    <xdr:rowOff>266700</xdr:rowOff>
                  </to>
                </anchor>
              </controlPr>
            </control>
          </mc:Choice>
        </mc:AlternateContent>
        <mc:AlternateContent xmlns:mc="http://schemas.openxmlformats.org/markup-compatibility/2006">
          <mc:Choice Requires="x14">
            <control shapeId="1208" r:id="rId149" name="Button 184">
              <controlPr defaultSize="0" print="0" autoFill="0" autoPict="0" macro="[0]!Pulsante142_Click">
                <anchor moveWithCells="1" sizeWithCells="1">
                  <from>
                    <xdr:col>0</xdr:col>
                    <xdr:colOff>28575</xdr:colOff>
                    <xdr:row>142</xdr:row>
                    <xdr:rowOff>19050</xdr:rowOff>
                  </from>
                  <to>
                    <xdr:col>0</xdr:col>
                    <xdr:colOff>447675</xdr:colOff>
                    <xdr:row>142</xdr:row>
                    <xdr:rowOff>266700</xdr:rowOff>
                  </to>
                </anchor>
              </controlPr>
            </control>
          </mc:Choice>
        </mc:AlternateContent>
        <mc:AlternateContent xmlns:mc="http://schemas.openxmlformats.org/markup-compatibility/2006">
          <mc:Choice Requires="x14">
            <control shapeId="1209" r:id="rId150" name="Button 185">
              <controlPr defaultSize="0" print="0" autoFill="0" autoPict="0" macro="[0]!Pulsante143_Click">
                <anchor moveWithCells="1" sizeWithCells="1">
                  <from>
                    <xdr:col>0</xdr:col>
                    <xdr:colOff>28575</xdr:colOff>
                    <xdr:row>143</xdr:row>
                    <xdr:rowOff>19050</xdr:rowOff>
                  </from>
                  <to>
                    <xdr:col>0</xdr:col>
                    <xdr:colOff>447675</xdr:colOff>
                    <xdr:row>143</xdr:row>
                    <xdr:rowOff>266700</xdr:rowOff>
                  </to>
                </anchor>
              </controlPr>
            </control>
          </mc:Choice>
        </mc:AlternateContent>
        <mc:AlternateContent xmlns:mc="http://schemas.openxmlformats.org/markup-compatibility/2006">
          <mc:Choice Requires="x14">
            <control shapeId="1210" r:id="rId151" name="Button 186">
              <controlPr defaultSize="0" print="0" autoFill="0" autoPict="0" macro="[0]!Pulsante144_Click">
                <anchor moveWithCells="1" sizeWithCells="1">
                  <from>
                    <xdr:col>0</xdr:col>
                    <xdr:colOff>28575</xdr:colOff>
                    <xdr:row>144</xdr:row>
                    <xdr:rowOff>19050</xdr:rowOff>
                  </from>
                  <to>
                    <xdr:col>0</xdr:col>
                    <xdr:colOff>447675</xdr:colOff>
                    <xdr:row>144</xdr:row>
                    <xdr:rowOff>266700</xdr:rowOff>
                  </to>
                </anchor>
              </controlPr>
            </control>
          </mc:Choice>
        </mc:AlternateContent>
        <mc:AlternateContent xmlns:mc="http://schemas.openxmlformats.org/markup-compatibility/2006">
          <mc:Choice Requires="x14">
            <control shapeId="1211" r:id="rId152" name="Button 187">
              <controlPr defaultSize="0" print="0" autoFill="0" autoPict="0" macro="[0]!Pulsante145_Click">
                <anchor moveWithCells="1" sizeWithCells="1">
                  <from>
                    <xdr:col>0</xdr:col>
                    <xdr:colOff>28575</xdr:colOff>
                    <xdr:row>145</xdr:row>
                    <xdr:rowOff>19050</xdr:rowOff>
                  </from>
                  <to>
                    <xdr:col>0</xdr:col>
                    <xdr:colOff>447675</xdr:colOff>
                    <xdr:row>145</xdr:row>
                    <xdr:rowOff>266700</xdr:rowOff>
                  </to>
                </anchor>
              </controlPr>
            </control>
          </mc:Choice>
        </mc:AlternateContent>
        <mc:AlternateContent xmlns:mc="http://schemas.openxmlformats.org/markup-compatibility/2006">
          <mc:Choice Requires="x14">
            <control shapeId="1212" r:id="rId153" name="Button 188">
              <controlPr defaultSize="0" print="0" autoFill="0" autoPict="0" macro="[0]!Pulsante146_Click">
                <anchor moveWithCells="1" sizeWithCells="1">
                  <from>
                    <xdr:col>0</xdr:col>
                    <xdr:colOff>28575</xdr:colOff>
                    <xdr:row>146</xdr:row>
                    <xdr:rowOff>19050</xdr:rowOff>
                  </from>
                  <to>
                    <xdr:col>0</xdr:col>
                    <xdr:colOff>447675</xdr:colOff>
                    <xdr:row>146</xdr:row>
                    <xdr:rowOff>266700</xdr:rowOff>
                  </to>
                </anchor>
              </controlPr>
            </control>
          </mc:Choice>
        </mc:AlternateContent>
        <mc:AlternateContent xmlns:mc="http://schemas.openxmlformats.org/markup-compatibility/2006">
          <mc:Choice Requires="x14">
            <control shapeId="1213" r:id="rId154" name="Button 189">
              <controlPr defaultSize="0" print="0" autoFill="0" autoPict="0" macro="[0]!Pulsante147_Click">
                <anchor moveWithCells="1" sizeWithCells="1">
                  <from>
                    <xdr:col>0</xdr:col>
                    <xdr:colOff>28575</xdr:colOff>
                    <xdr:row>147</xdr:row>
                    <xdr:rowOff>19050</xdr:rowOff>
                  </from>
                  <to>
                    <xdr:col>0</xdr:col>
                    <xdr:colOff>447675</xdr:colOff>
                    <xdr:row>147</xdr:row>
                    <xdr:rowOff>266700</xdr:rowOff>
                  </to>
                </anchor>
              </controlPr>
            </control>
          </mc:Choice>
        </mc:AlternateContent>
        <mc:AlternateContent xmlns:mc="http://schemas.openxmlformats.org/markup-compatibility/2006">
          <mc:Choice Requires="x14">
            <control shapeId="1214" r:id="rId155" name="Button 190">
              <controlPr defaultSize="0" print="0" autoFill="0" autoPict="0" macro="[0]!Pulsante148_Click">
                <anchor moveWithCells="1" sizeWithCells="1">
                  <from>
                    <xdr:col>0</xdr:col>
                    <xdr:colOff>28575</xdr:colOff>
                    <xdr:row>148</xdr:row>
                    <xdr:rowOff>19050</xdr:rowOff>
                  </from>
                  <to>
                    <xdr:col>0</xdr:col>
                    <xdr:colOff>447675</xdr:colOff>
                    <xdr:row>148</xdr:row>
                    <xdr:rowOff>266700</xdr:rowOff>
                  </to>
                </anchor>
              </controlPr>
            </control>
          </mc:Choice>
        </mc:AlternateContent>
        <mc:AlternateContent xmlns:mc="http://schemas.openxmlformats.org/markup-compatibility/2006">
          <mc:Choice Requires="x14">
            <control shapeId="1215" r:id="rId156" name="Button 191">
              <controlPr defaultSize="0" print="0" autoFill="0" autoPict="0" macro="[0]!Pulsante149_Click">
                <anchor moveWithCells="1" sizeWithCells="1">
                  <from>
                    <xdr:col>0</xdr:col>
                    <xdr:colOff>28575</xdr:colOff>
                    <xdr:row>149</xdr:row>
                    <xdr:rowOff>19050</xdr:rowOff>
                  </from>
                  <to>
                    <xdr:col>0</xdr:col>
                    <xdr:colOff>447675</xdr:colOff>
                    <xdr:row>149</xdr:row>
                    <xdr:rowOff>266700</xdr:rowOff>
                  </to>
                </anchor>
              </controlPr>
            </control>
          </mc:Choice>
        </mc:AlternateContent>
        <mc:AlternateContent xmlns:mc="http://schemas.openxmlformats.org/markup-compatibility/2006">
          <mc:Choice Requires="x14">
            <control shapeId="1216" r:id="rId157" name="Button 192">
              <controlPr defaultSize="0" print="0" autoFill="0" autoPict="0" macro="[0]!Pulsante150_Click">
                <anchor moveWithCells="1" sizeWithCells="1">
                  <from>
                    <xdr:col>0</xdr:col>
                    <xdr:colOff>28575</xdr:colOff>
                    <xdr:row>150</xdr:row>
                    <xdr:rowOff>19050</xdr:rowOff>
                  </from>
                  <to>
                    <xdr:col>0</xdr:col>
                    <xdr:colOff>447675</xdr:colOff>
                    <xdr:row>150</xdr:row>
                    <xdr:rowOff>266700</xdr:rowOff>
                  </to>
                </anchor>
              </controlPr>
            </control>
          </mc:Choice>
        </mc:AlternateContent>
        <mc:AlternateContent xmlns:mc="http://schemas.openxmlformats.org/markup-compatibility/2006">
          <mc:Choice Requires="x14">
            <control shapeId="1217" r:id="rId158" name="Button 193">
              <controlPr defaultSize="0" print="0" autoFill="0" autoPict="0" macro="[0]!Pulsante151_Click">
                <anchor moveWithCells="1" sizeWithCells="1">
                  <from>
                    <xdr:col>0</xdr:col>
                    <xdr:colOff>28575</xdr:colOff>
                    <xdr:row>151</xdr:row>
                    <xdr:rowOff>19050</xdr:rowOff>
                  </from>
                  <to>
                    <xdr:col>0</xdr:col>
                    <xdr:colOff>447675</xdr:colOff>
                    <xdr:row>151</xdr:row>
                    <xdr:rowOff>266700</xdr:rowOff>
                  </to>
                </anchor>
              </controlPr>
            </control>
          </mc:Choice>
        </mc:AlternateContent>
        <mc:AlternateContent xmlns:mc="http://schemas.openxmlformats.org/markup-compatibility/2006">
          <mc:Choice Requires="x14">
            <control shapeId="1218" r:id="rId159" name="Button 194">
              <controlPr defaultSize="0" print="0" autoFill="0" autoPict="0" macro="[0]!Pulsante152_Click">
                <anchor moveWithCells="1" sizeWithCells="1">
                  <from>
                    <xdr:col>0</xdr:col>
                    <xdr:colOff>28575</xdr:colOff>
                    <xdr:row>152</xdr:row>
                    <xdr:rowOff>19050</xdr:rowOff>
                  </from>
                  <to>
                    <xdr:col>0</xdr:col>
                    <xdr:colOff>447675</xdr:colOff>
                    <xdr:row>152</xdr:row>
                    <xdr:rowOff>266700</xdr:rowOff>
                  </to>
                </anchor>
              </controlPr>
            </control>
          </mc:Choice>
        </mc:AlternateContent>
        <mc:AlternateContent xmlns:mc="http://schemas.openxmlformats.org/markup-compatibility/2006">
          <mc:Choice Requires="x14">
            <control shapeId="1219" r:id="rId160" name="Button 195">
              <controlPr defaultSize="0" print="0" autoFill="0" autoPict="0" macro="[0]!Pulsante153_Click">
                <anchor moveWithCells="1" sizeWithCells="1">
                  <from>
                    <xdr:col>0</xdr:col>
                    <xdr:colOff>28575</xdr:colOff>
                    <xdr:row>153</xdr:row>
                    <xdr:rowOff>19050</xdr:rowOff>
                  </from>
                  <to>
                    <xdr:col>0</xdr:col>
                    <xdr:colOff>447675</xdr:colOff>
                    <xdr:row>153</xdr:row>
                    <xdr:rowOff>266700</xdr:rowOff>
                  </to>
                </anchor>
              </controlPr>
            </control>
          </mc:Choice>
        </mc:AlternateContent>
        <mc:AlternateContent xmlns:mc="http://schemas.openxmlformats.org/markup-compatibility/2006">
          <mc:Choice Requires="x14">
            <control shapeId="1220" r:id="rId161" name="Button 196">
              <controlPr defaultSize="0" print="0" autoFill="0" autoPict="0" macro="[0]!Pulsante154_Click">
                <anchor moveWithCells="1" sizeWithCells="1">
                  <from>
                    <xdr:col>0</xdr:col>
                    <xdr:colOff>28575</xdr:colOff>
                    <xdr:row>154</xdr:row>
                    <xdr:rowOff>19050</xdr:rowOff>
                  </from>
                  <to>
                    <xdr:col>0</xdr:col>
                    <xdr:colOff>447675</xdr:colOff>
                    <xdr:row>154</xdr:row>
                    <xdr:rowOff>266700</xdr:rowOff>
                  </to>
                </anchor>
              </controlPr>
            </control>
          </mc:Choice>
        </mc:AlternateContent>
        <mc:AlternateContent xmlns:mc="http://schemas.openxmlformats.org/markup-compatibility/2006">
          <mc:Choice Requires="x14">
            <control shapeId="1221" r:id="rId162" name="Button 197">
              <controlPr defaultSize="0" print="0" autoFill="0" autoPict="0" macro="[0]!Pulsante155_Click">
                <anchor moveWithCells="1" sizeWithCells="1">
                  <from>
                    <xdr:col>0</xdr:col>
                    <xdr:colOff>28575</xdr:colOff>
                    <xdr:row>155</xdr:row>
                    <xdr:rowOff>19050</xdr:rowOff>
                  </from>
                  <to>
                    <xdr:col>0</xdr:col>
                    <xdr:colOff>447675</xdr:colOff>
                    <xdr:row>155</xdr:row>
                    <xdr:rowOff>266700</xdr:rowOff>
                  </to>
                </anchor>
              </controlPr>
            </control>
          </mc:Choice>
        </mc:AlternateContent>
        <mc:AlternateContent xmlns:mc="http://schemas.openxmlformats.org/markup-compatibility/2006">
          <mc:Choice Requires="x14">
            <control shapeId="1222" r:id="rId163" name="Button 198">
              <controlPr defaultSize="0" print="0" autoFill="0" autoPict="0" macro="[0]!Pulsante156_Click">
                <anchor moveWithCells="1" sizeWithCells="1">
                  <from>
                    <xdr:col>0</xdr:col>
                    <xdr:colOff>28575</xdr:colOff>
                    <xdr:row>156</xdr:row>
                    <xdr:rowOff>19050</xdr:rowOff>
                  </from>
                  <to>
                    <xdr:col>0</xdr:col>
                    <xdr:colOff>447675</xdr:colOff>
                    <xdr:row>156</xdr:row>
                    <xdr:rowOff>266700</xdr:rowOff>
                  </to>
                </anchor>
              </controlPr>
            </control>
          </mc:Choice>
        </mc:AlternateContent>
        <mc:AlternateContent xmlns:mc="http://schemas.openxmlformats.org/markup-compatibility/2006">
          <mc:Choice Requires="x14">
            <control shapeId="1223" r:id="rId164" name="Button 199">
              <controlPr defaultSize="0" print="0" autoFill="0" autoPict="0" macro="[0]!Pulsante157_Click">
                <anchor moveWithCells="1" sizeWithCells="1">
                  <from>
                    <xdr:col>0</xdr:col>
                    <xdr:colOff>28575</xdr:colOff>
                    <xdr:row>157</xdr:row>
                    <xdr:rowOff>19050</xdr:rowOff>
                  </from>
                  <to>
                    <xdr:col>0</xdr:col>
                    <xdr:colOff>447675</xdr:colOff>
                    <xdr:row>157</xdr:row>
                    <xdr:rowOff>266700</xdr:rowOff>
                  </to>
                </anchor>
              </controlPr>
            </control>
          </mc:Choice>
        </mc:AlternateContent>
        <mc:AlternateContent xmlns:mc="http://schemas.openxmlformats.org/markup-compatibility/2006">
          <mc:Choice Requires="x14">
            <control shapeId="1224" r:id="rId165" name="Button 200">
              <controlPr defaultSize="0" print="0" autoFill="0" autoPict="0" macro="[0]!Pulsante158_Click">
                <anchor moveWithCells="1" sizeWithCells="1">
                  <from>
                    <xdr:col>0</xdr:col>
                    <xdr:colOff>28575</xdr:colOff>
                    <xdr:row>158</xdr:row>
                    <xdr:rowOff>19050</xdr:rowOff>
                  </from>
                  <to>
                    <xdr:col>0</xdr:col>
                    <xdr:colOff>447675</xdr:colOff>
                    <xdr:row>158</xdr:row>
                    <xdr:rowOff>266700</xdr:rowOff>
                  </to>
                </anchor>
              </controlPr>
            </control>
          </mc:Choice>
        </mc:AlternateContent>
        <mc:AlternateContent xmlns:mc="http://schemas.openxmlformats.org/markup-compatibility/2006">
          <mc:Choice Requires="x14">
            <control shapeId="1225" r:id="rId166" name="Button 201">
              <controlPr defaultSize="0" print="0" autoFill="0" autoPict="0" macro="[0]!Pulsante159_Click">
                <anchor moveWithCells="1" sizeWithCells="1">
                  <from>
                    <xdr:col>0</xdr:col>
                    <xdr:colOff>28575</xdr:colOff>
                    <xdr:row>159</xdr:row>
                    <xdr:rowOff>19050</xdr:rowOff>
                  </from>
                  <to>
                    <xdr:col>0</xdr:col>
                    <xdr:colOff>447675</xdr:colOff>
                    <xdr:row>159</xdr:row>
                    <xdr:rowOff>266700</xdr:rowOff>
                  </to>
                </anchor>
              </controlPr>
            </control>
          </mc:Choice>
        </mc:AlternateContent>
        <mc:AlternateContent xmlns:mc="http://schemas.openxmlformats.org/markup-compatibility/2006">
          <mc:Choice Requires="x14">
            <control shapeId="1226" r:id="rId167" name="Button 202">
              <controlPr defaultSize="0" print="0" autoFill="0" autoPict="0" macro="[0]!Pulsante160_Click">
                <anchor moveWithCells="1" sizeWithCells="1">
                  <from>
                    <xdr:col>0</xdr:col>
                    <xdr:colOff>28575</xdr:colOff>
                    <xdr:row>160</xdr:row>
                    <xdr:rowOff>19050</xdr:rowOff>
                  </from>
                  <to>
                    <xdr:col>0</xdr:col>
                    <xdr:colOff>447675</xdr:colOff>
                    <xdr:row>160</xdr:row>
                    <xdr:rowOff>266700</xdr:rowOff>
                  </to>
                </anchor>
              </controlPr>
            </control>
          </mc:Choice>
        </mc:AlternateContent>
        <mc:AlternateContent xmlns:mc="http://schemas.openxmlformats.org/markup-compatibility/2006">
          <mc:Choice Requires="x14">
            <control shapeId="1227" r:id="rId168" name="Button 203">
              <controlPr defaultSize="0" print="0" autoFill="0" autoPict="0" macro="[0]!Pulsante26_Click">
                <anchor moveWithCells="1">
                  <from>
                    <xdr:col>0</xdr:col>
                    <xdr:colOff>38100</xdr:colOff>
                    <xdr:row>26</xdr:row>
                    <xdr:rowOff>28575</xdr:rowOff>
                  </from>
                  <to>
                    <xdr:col>0</xdr:col>
                    <xdr:colOff>428625</xdr:colOff>
                    <xdr:row>26</xdr:row>
                    <xdr:rowOff>266700</xdr:rowOff>
                  </to>
                </anchor>
              </controlPr>
            </control>
          </mc:Choice>
        </mc:AlternateContent>
        <mc:AlternateContent xmlns:mc="http://schemas.openxmlformats.org/markup-compatibility/2006">
          <mc:Choice Requires="x14">
            <control shapeId="1229" r:id="rId169" name="Button 205">
              <controlPr defaultSize="0" print="0" autoFill="0" autoPict="0" macro="[0]!Pulsante51_Click">
                <anchor moveWithCells="1" sizeWithCells="1">
                  <from>
                    <xdr:col>0</xdr:col>
                    <xdr:colOff>28575</xdr:colOff>
                    <xdr:row>51</xdr:row>
                    <xdr:rowOff>28575</xdr:rowOff>
                  </from>
                  <to>
                    <xdr:col>0</xdr:col>
                    <xdr:colOff>447675</xdr:colOff>
                    <xdr:row>51</xdr:row>
                    <xdr:rowOff>266700</xdr:rowOff>
                  </to>
                </anchor>
              </controlPr>
            </control>
          </mc:Choice>
        </mc:AlternateContent>
        <mc:AlternateContent xmlns:mc="http://schemas.openxmlformats.org/markup-compatibility/2006">
          <mc:Choice Requires="x14">
            <control shapeId="1230" r:id="rId170" name="Button 206">
              <controlPr defaultSize="0" print="0" autoFill="0" autoPict="0" macro="[0]!Pulsante50_Click">
                <anchor moveWithCells="1" sizeWithCells="1">
                  <from>
                    <xdr:col>0</xdr:col>
                    <xdr:colOff>19050</xdr:colOff>
                    <xdr:row>50</xdr:row>
                    <xdr:rowOff>19050</xdr:rowOff>
                  </from>
                  <to>
                    <xdr:col>0</xdr:col>
                    <xdr:colOff>457200</xdr:colOff>
                    <xdr:row>50</xdr:row>
                    <xdr:rowOff>266700</xdr:rowOff>
                  </to>
                </anchor>
              </controlPr>
            </control>
          </mc:Choice>
        </mc:AlternateContent>
        <mc:AlternateContent xmlns:mc="http://schemas.openxmlformats.org/markup-compatibility/2006">
          <mc:Choice Requires="x14">
            <control shapeId="1231" r:id="rId171" name="Button 207">
              <controlPr defaultSize="0" print="0" autoFill="0" autoPict="0" macro="[0]!Pulsante52_Click">
                <anchor moveWithCells="1" sizeWithCells="1">
                  <from>
                    <xdr:col>0</xdr:col>
                    <xdr:colOff>9525</xdr:colOff>
                    <xdr:row>52</xdr:row>
                    <xdr:rowOff>19050</xdr:rowOff>
                  </from>
                  <to>
                    <xdr:col>0</xdr:col>
                    <xdr:colOff>447675</xdr:colOff>
                    <xdr:row>52</xdr:row>
                    <xdr:rowOff>266700</xdr:rowOff>
                  </to>
                </anchor>
              </controlPr>
            </control>
          </mc:Choice>
        </mc:AlternateContent>
        <mc:AlternateContent xmlns:mc="http://schemas.openxmlformats.org/markup-compatibility/2006">
          <mc:Choice Requires="x14">
            <control shapeId="1233" r:id="rId172" name="Button 209">
              <controlPr defaultSize="0" print="0" autoFill="0" autoPict="0" macro="[0]!Pulsante74_Click">
                <anchor moveWithCells="1" sizeWithCells="1">
                  <from>
                    <xdr:col>0</xdr:col>
                    <xdr:colOff>28575</xdr:colOff>
                    <xdr:row>74</xdr:row>
                    <xdr:rowOff>19050</xdr:rowOff>
                  </from>
                  <to>
                    <xdr:col>0</xdr:col>
                    <xdr:colOff>447675</xdr:colOff>
                    <xdr:row>74</xdr:row>
                    <xdr:rowOff>276225</xdr:rowOff>
                  </to>
                </anchor>
              </controlPr>
            </control>
          </mc:Choice>
        </mc:AlternateContent>
        <mc:AlternateContent xmlns:mc="http://schemas.openxmlformats.org/markup-compatibility/2006">
          <mc:Choice Requires="x14">
            <control shapeId="1234" r:id="rId173" name="Button 210">
              <controlPr defaultSize="0" print="0" autoFill="0" autoPict="0" macro="[0]!Pulsante7B_Click">
                <anchor moveWithCells="1" sizeWithCells="1">
                  <from>
                    <xdr:col>16</xdr:col>
                    <xdr:colOff>28575</xdr:colOff>
                    <xdr:row>7</xdr:row>
                    <xdr:rowOff>19050</xdr:rowOff>
                  </from>
                  <to>
                    <xdr:col>16</xdr:col>
                    <xdr:colOff>447675</xdr:colOff>
                    <xdr:row>7</xdr:row>
                    <xdr:rowOff>266700</xdr:rowOff>
                  </to>
                </anchor>
              </controlPr>
            </control>
          </mc:Choice>
        </mc:AlternateContent>
        <mc:AlternateContent xmlns:mc="http://schemas.openxmlformats.org/markup-compatibility/2006">
          <mc:Choice Requires="x14">
            <control shapeId="1235" r:id="rId174" name="Button 211">
              <controlPr defaultSize="0" print="0" autoFill="0" autoPict="0" macro="[0]!Pulsante8B_Click">
                <anchor moveWithCells="1" sizeWithCells="1">
                  <from>
                    <xdr:col>16</xdr:col>
                    <xdr:colOff>28575</xdr:colOff>
                    <xdr:row>8</xdr:row>
                    <xdr:rowOff>19050</xdr:rowOff>
                  </from>
                  <to>
                    <xdr:col>16</xdr:col>
                    <xdr:colOff>447675</xdr:colOff>
                    <xdr:row>8</xdr:row>
                    <xdr:rowOff>266700</xdr:rowOff>
                  </to>
                </anchor>
              </controlPr>
            </control>
          </mc:Choice>
        </mc:AlternateContent>
        <mc:AlternateContent xmlns:mc="http://schemas.openxmlformats.org/markup-compatibility/2006">
          <mc:Choice Requires="x14">
            <control shapeId="1236" r:id="rId175" name="Button 212">
              <controlPr defaultSize="0" print="0" autoFill="0" autoPict="0" macro="[0]!Pulsante9B_Click">
                <anchor moveWithCells="1" sizeWithCells="1">
                  <from>
                    <xdr:col>16</xdr:col>
                    <xdr:colOff>28575</xdr:colOff>
                    <xdr:row>9</xdr:row>
                    <xdr:rowOff>19050</xdr:rowOff>
                  </from>
                  <to>
                    <xdr:col>16</xdr:col>
                    <xdr:colOff>447675</xdr:colOff>
                    <xdr:row>9</xdr:row>
                    <xdr:rowOff>266700</xdr:rowOff>
                  </to>
                </anchor>
              </controlPr>
            </control>
          </mc:Choice>
        </mc:AlternateContent>
        <mc:AlternateContent xmlns:mc="http://schemas.openxmlformats.org/markup-compatibility/2006">
          <mc:Choice Requires="x14">
            <control shapeId="1237" r:id="rId176" name="Button 213">
              <controlPr defaultSize="0" print="0" autoFill="0" autoPict="0" macro="[0]!Pulsante10B_Click">
                <anchor moveWithCells="1" sizeWithCells="1">
                  <from>
                    <xdr:col>16</xdr:col>
                    <xdr:colOff>28575</xdr:colOff>
                    <xdr:row>10</xdr:row>
                    <xdr:rowOff>19050</xdr:rowOff>
                  </from>
                  <to>
                    <xdr:col>16</xdr:col>
                    <xdr:colOff>447675</xdr:colOff>
                    <xdr:row>10</xdr:row>
                    <xdr:rowOff>266700</xdr:rowOff>
                  </to>
                </anchor>
              </controlPr>
            </control>
          </mc:Choice>
        </mc:AlternateContent>
        <mc:AlternateContent xmlns:mc="http://schemas.openxmlformats.org/markup-compatibility/2006">
          <mc:Choice Requires="x14">
            <control shapeId="1238" r:id="rId177" name="Button 214">
              <controlPr defaultSize="0" print="0" autoFill="0" autoPict="0" macro="[0]!Pulsante11B_Click">
                <anchor moveWithCells="1" sizeWithCells="1">
                  <from>
                    <xdr:col>16</xdr:col>
                    <xdr:colOff>28575</xdr:colOff>
                    <xdr:row>11</xdr:row>
                    <xdr:rowOff>19050</xdr:rowOff>
                  </from>
                  <to>
                    <xdr:col>16</xdr:col>
                    <xdr:colOff>447675</xdr:colOff>
                    <xdr:row>11</xdr:row>
                    <xdr:rowOff>266700</xdr:rowOff>
                  </to>
                </anchor>
              </controlPr>
            </control>
          </mc:Choice>
        </mc:AlternateContent>
        <mc:AlternateContent xmlns:mc="http://schemas.openxmlformats.org/markup-compatibility/2006">
          <mc:Choice Requires="x14">
            <control shapeId="1239" r:id="rId178" name="Button 215">
              <controlPr defaultSize="0" print="0" autoFill="0" autoPict="0" macro="[0]!Pulsante12B_Click">
                <anchor moveWithCells="1" sizeWithCells="1">
                  <from>
                    <xdr:col>16</xdr:col>
                    <xdr:colOff>28575</xdr:colOff>
                    <xdr:row>12</xdr:row>
                    <xdr:rowOff>19050</xdr:rowOff>
                  </from>
                  <to>
                    <xdr:col>16</xdr:col>
                    <xdr:colOff>447675</xdr:colOff>
                    <xdr:row>12</xdr:row>
                    <xdr:rowOff>266700</xdr:rowOff>
                  </to>
                </anchor>
              </controlPr>
            </control>
          </mc:Choice>
        </mc:AlternateContent>
        <mc:AlternateContent xmlns:mc="http://schemas.openxmlformats.org/markup-compatibility/2006">
          <mc:Choice Requires="x14">
            <control shapeId="1240" r:id="rId179" name="Button 216">
              <controlPr defaultSize="0" print="0" autoFill="0" autoPict="0" macro="[0]!Pulsante13B_Click">
                <anchor moveWithCells="1" sizeWithCells="1">
                  <from>
                    <xdr:col>16</xdr:col>
                    <xdr:colOff>28575</xdr:colOff>
                    <xdr:row>13</xdr:row>
                    <xdr:rowOff>19050</xdr:rowOff>
                  </from>
                  <to>
                    <xdr:col>16</xdr:col>
                    <xdr:colOff>447675</xdr:colOff>
                    <xdr:row>13</xdr:row>
                    <xdr:rowOff>266700</xdr:rowOff>
                  </to>
                </anchor>
              </controlPr>
            </control>
          </mc:Choice>
        </mc:AlternateContent>
        <mc:AlternateContent xmlns:mc="http://schemas.openxmlformats.org/markup-compatibility/2006">
          <mc:Choice Requires="x14">
            <control shapeId="1241" r:id="rId180" name="Button 217">
              <controlPr defaultSize="0" print="0" autoFill="0" autoPict="0" macro="[0]!Pulsante14B_Click">
                <anchor moveWithCells="1" sizeWithCells="1">
                  <from>
                    <xdr:col>16</xdr:col>
                    <xdr:colOff>28575</xdr:colOff>
                    <xdr:row>14</xdr:row>
                    <xdr:rowOff>19050</xdr:rowOff>
                  </from>
                  <to>
                    <xdr:col>16</xdr:col>
                    <xdr:colOff>447675</xdr:colOff>
                    <xdr:row>14</xdr:row>
                    <xdr:rowOff>266700</xdr:rowOff>
                  </to>
                </anchor>
              </controlPr>
            </control>
          </mc:Choice>
        </mc:AlternateContent>
        <mc:AlternateContent xmlns:mc="http://schemas.openxmlformats.org/markup-compatibility/2006">
          <mc:Choice Requires="x14">
            <control shapeId="1242" r:id="rId181" name="Button 218">
              <controlPr defaultSize="0" print="0" autoFill="0" autoPict="0" macro="[0]!Pulsante15B_Click">
                <anchor moveWithCells="1" sizeWithCells="1">
                  <from>
                    <xdr:col>16</xdr:col>
                    <xdr:colOff>28575</xdr:colOff>
                    <xdr:row>15</xdr:row>
                    <xdr:rowOff>19050</xdr:rowOff>
                  </from>
                  <to>
                    <xdr:col>16</xdr:col>
                    <xdr:colOff>447675</xdr:colOff>
                    <xdr:row>15</xdr:row>
                    <xdr:rowOff>266700</xdr:rowOff>
                  </to>
                </anchor>
              </controlPr>
            </control>
          </mc:Choice>
        </mc:AlternateContent>
        <mc:AlternateContent xmlns:mc="http://schemas.openxmlformats.org/markup-compatibility/2006">
          <mc:Choice Requires="x14">
            <control shapeId="1243" r:id="rId182" name="Button 219">
              <controlPr defaultSize="0" print="0" autoFill="0" autoPict="0" macro="[0]!Pulsante16B_Click">
                <anchor moveWithCells="1" sizeWithCells="1">
                  <from>
                    <xdr:col>16</xdr:col>
                    <xdr:colOff>28575</xdr:colOff>
                    <xdr:row>16</xdr:row>
                    <xdr:rowOff>19050</xdr:rowOff>
                  </from>
                  <to>
                    <xdr:col>16</xdr:col>
                    <xdr:colOff>447675</xdr:colOff>
                    <xdr:row>16</xdr:row>
                    <xdr:rowOff>266700</xdr:rowOff>
                  </to>
                </anchor>
              </controlPr>
            </control>
          </mc:Choice>
        </mc:AlternateContent>
        <mc:AlternateContent xmlns:mc="http://schemas.openxmlformats.org/markup-compatibility/2006">
          <mc:Choice Requires="x14">
            <control shapeId="1244" r:id="rId183" name="Button 220">
              <controlPr defaultSize="0" print="0" autoFill="0" autoPict="0" macro="[0]!Pulsante17B_Click">
                <anchor moveWithCells="1" sizeWithCells="1">
                  <from>
                    <xdr:col>16</xdr:col>
                    <xdr:colOff>28575</xdr:colOff>
                    <xdr:row>17</xdr:row>
                    <xdr:rowOff>19050</xdr:rowOff>
                  </from>
                  <to>
                    <xdr:col>16</xdr:col>
                    <xdr:colOff>447675</xdr:colOff>
                    <xdr:row>17</xdr:row>
                    <xdr:rowOff>266700</xdr:rowOff>
                  </to>
                </anchor>
              </controlPr>
            </control>
          </mc:Choice>
        </mc:AlternateContent>
        <mc:AlternateContent xmlns:mc="http://schemas.openxmlformats.org/markup-compatibility/2006">
          <mc:Choice Requires="x14">
            <control shapeId="1245" r:id="rId184" name="Button 221">
              <controlPr defaultSize="0" print="0" autoFill="0" autoPict="0" macro="[0]!Pulsante18B_Click">
                <anchor moveWithCells="1" sizeWithCells="1">
                  <from>
                    <xdr:col>16</xdr:col>
                    <xdr:colOff>28575</xdr:colOff>
                    <xdr:row>18</xdr:row>
                    <xdr:rowOff>19050</xdr:rowOff>
                  </from>
                  <to>
                    <xdr:col>16</xdr:col>
                    <xdr:colOff>447675</xdr:colOff>
                    <xdr:row>18</xdr:row>
                    <xdr:rowOff>266700</xdr:rowOff>
                  </to>
                </anchor>
              </controlPr>
            </control>
          </mc:Choice>
        </mc:AlternateContent>
        <mc:AlternateContent xmlns:mc="http://schemas.openxmlformats.org/markup-compatibility/2006">
          <mc:Choice Requires="x14">
            <control shapeId="1246" r:id="rId185" name="Button 222">
              <controlPr defaultSize="0" print="0" autoFill="0" autoPict="0" macro="[0]!Pulsante19B_Click">
                <anchor moveWithCells="1" sizeWithCells="1">
                  <from>
                    <xdr:col>16</xdr:col>
                    <xdr:colOff>28575</xdr:colOff>
                    <xdr:row>19</xdr:row>
                    <xdr:rowOff>19050</xdr:rowOff>
                  </from>
                  <to>
                    <xdr:col>16</xdr:col>
                    <xdr:colOff>447675</xdr:colOff>
                    <xdr:row>19</xdr:row>
                    <xdr:rowOff>266700</xdr:rowOff>
                  </to>
                </anchor>
              </controlPr>
            </control>
          </mc:Choice>
        </mc:AlternateContent>
        <mc:AlternateContent xmlns:mc="http://schemas.openxmlformats.org/markup-compatibility/2006">
          <mc:Choice Requires="x14">
            <control shapeId="1247" r:id="rId186" name="Button 223">
              <controlPr defaultSize="0" print="0" autoFill="0" autoPict="0" macro="[0]!Pulsante20B_Click">
                <anchor moveWithCells="1" sizeWithCells="1">
                  <from>
                    <xdr:col>16</xdr:col>
                    <xdr:colOff>28575</xdr:colOff>
                    <xdr:row>20</xdr:row>
                    <xdr:rowOff>19050</xdr:rowOff>
                  </from>
                  <to>
                    <xdr:col>16</xdr:col>
                    <xdr:colOff>447675</xdr:colOff>
                    <xdr:row>20</xdr:row>
                    <xdr:rowOff>266700</xdr:rowOff>
                  </to>
                </anchor>
              </controlPr>
            </control>
          </mc:Choice>
        </mc:AlternateContent>
        <mc:AlternateContent xmlns:mc="http://schemas.openxmlformats.org/markup-compatibility/2006">
          <mc:Choice Requires="x14">
            <control shapeId="1248" r:id="rId187" name="Button 224">
              <controlPr defaultSize="0" print="0" autoFill="0" autoPict="0" macro="[0]!Pulsante21B_Click">
                <anchor moveWithCells="1" sizeWithCells="1">
                  <from>
                    <xdr:col>16</xdr:col>
                    <xdr:colOff>28575</xdr:colOff>
                    <xdr:row>21</xdr:row>
                    <xdr:rowOff>19050</xdr:rowOff>
                  </from>
                  <to>
                    <xdr:col>16</xdr:col>
                    <xdr:colOff>447675</xdr:colOff>
                    <xdr:row>21</xdr:row>
                    <xdr:rowOff>266700</xdr:rowOff>
                  </to>
                </anchor>
              </controlPr>
            </control>
          </mc:Choice>
        </mc:AlternateContent>
        <mc:AlternateContent xmlns:mc="http://schemas.openxmlformats.org/markup-compatibility/2006">
          <mc:Choice Requires="x14">
            <control shapeId="1249" r:id="rId188" name="Button 225">
              <controlPr defaultSize="0" print="0" autoFill="0" autoPict="0" macro="[0]!Pulsante22B_Click">
                <anchor moveWithCells="1" sizeWithCells="1">
                  <from>
                    <xdr:col>16</xdr:col>
                    <xdr:colOff>28575</xdr:colOff>
                    <xdr:row>22</xdr:row>
                    <xdr:rowOff>19050</xdr:rowOff>
                  </from>
                  <to>
                    <xdr:col>16</xdr:col>
                    <xdr:colOff>447675</xdr:colOff>
                    <xdr:row>22</xdr:row>
                    <xdr:rowOff>266700</xdr:rowOff>
                  </to>
                </anchor>
              </controlPr>
            </control>
          </mc:Choice>
        </mc:AlternateContent>
        <mc:AlternateContent xmlns:mc="http://schemas.openxmlformats.org/markup-compatibility/2006">
          <mc:Choice Requires="x14">
            <control shapeId="1250" r:id="rId189" name="Button 226">
              <controlPr defaultSize="0" print="0" autoFill="0" autoPict="0" macro="[0]!Pulsante23b_Click">
                <anchor moveWithCells="1" sizeWithCells="1">
                  <from>
                    <xdr:col>16</xdr:col>
                    <xdr:colOff>28575</xdr:colOff>
                    <xdr:row>23</xdr:row>
                    <xdr:rowOff>19050</xdr:rowOff>
                  </from>
                  <to>
                    <xdr:col>16</xdr:col>
                    <xdr:colOff>447675</xdr:colOff>
                    <xdr:row>23</xdr:row>
                    <xdr:rowOff>266700</xdr:rowOff>
                  </to>
                </anchor>
              </controlPr>
            </control>
          </mc:Choice>
        </mc:AlternateContent>
        <mc:AlternateContent xmlns:mc="http://schemas.openxmlformats.org/markup-compatibility/2006">
          <mc:Choice Requires="x14">
            <control shapeId="1251" r:id="rId190" name="Button 227">
              <controlPr defaultSize="0" print="0" autoFill="0" autoPict="0" macro="[0]!Pulsante24B_Click">
                <anchor moveWithCells="1" sizeWithCells="1">
                  <from>
                    <xdr:col>16</xdr:col>
                    <xdr:colOff>28575</xdr:colOff>
                    <xdr:row>24</xdr:row>
                    <xdr:rowOff>19050</xdr:rowOff>
                  </from>
                  <to>
                    <xdr:col>16</xdr:col>
                    <xdr:colOff>447675</xdr:colOff>
                    <xdr:row>24</xdr:row>
                    <xdr:rowOff>266700</xdr:rowOff>
                  </to>
                </anchor>
              </controlPr>
            </control>
          </mc:Choice>
        </mc:AlternateContent>
        <mc:AlternateContent xmlns:mc="http://schemas.openxmlformats.org/markup-compatibility/2006">
          <mc:Choice Requires="x14">
            <control shapeId="1252" r:id="rId191" name="Button 228">
              <controlPr defaultSize="0" print="0" autoFill="0" autoPict="0" macro="[0]!Pulsante25B_Click">
                <anchor moveWithCells="1" sizeWithCells="1">
                  <from>
                    <xdr:col>16</xdr:col>
                    <xdr:colOff>28575</xdr:colOff>
                    <xdr:row>25</xdr:row>
                    <xdr:rowOff>19050</xdr:rowOff>
                  </from>
                  <to>
                    <xdr:col>16</xdr:col>
                    <xdr:colOff>447675</xdr:colOff>
                    <xdr:row>25</xdr:row>
                    <xdr:rowOff>266700</xdr:rowOff>
                  </to>
                </anchor>
              </controlPr>
            </control>
          </mc:Choice>
        </mc:AlternateContent>
        <mc:AlternateContent xmlns:mc="http://schemas.openxmlformats.org/markup-compatibility/2006">
          <mc:Choice Requires="x14">
            <control shapeId="1253" r:id="rId192" name="Button 229">
              <controlPr defaultSize="0" print="0" autoFill="0" autoPict="0" macro="[0]!Pulsante27B_Click">
                <anchor moveWithCells="1" sizeWithCells="1">
                  <from>
                    <xdr:col>16</xdr:col>
                    <xdr:colOff>28575</xdr:colOff>
                    <xdr:row>27</xdr:row>
                    <xdr:rowOff>19050</xdr:rowOff>
                  </from>
                  <to>
                    <xdr:col>16</xdr:col>
                    <xdr:colOff>447675</xdr:colOff>
                    <xdr:row>27</xdr:row>
                    <xdr:rowOff>266700</xdr:rowOff>
                  </to>
                </anchor>
              </controlPr>
            </control>
          </mc:Choice>
        </mc:AlternateContent>
        <mc:AlternateContent xmlns:mc="http://schemas.openxmlformats.org/markup-compatibility/2006">
          <mc:Choice Requires="x14">
            <control shapeId="1254" r:id="rId193" name="Button 230">
              <controlPr defaultSize="0" print="0" autoFill="0" autoPict="0" macro="[0]!Pulsante28B_Click">
                <anchor moveWithCells="1" sizeWithCells="1">
                  <from>
                    <xdr:col>16</xdr:col>
                    <xdr:colOff>28575</xdr:colOff>
                    <xdr:row>28</xdr:row>
                    <xdr:rowOff>19050</xdr:rowOff>
                  </from>
                  <to>
                    <xdr:col>16</xdr:col>
                    <xdr:colOff>447675</xdr:colOff>
                    <xdr:row>28</xdr:row>
                    <xdr:rowOff>266700</xdr:rowOff>
                  </to>
                </anchor>
              </controlPr>
            </control>
          </mc:Choice>
        </mc:AlternateContent>
        <mc:AlternateContent xmlns:mc="http://schemas.openxmlformats.org/markup-compatibility/2006">
          <mc:Choice Requires="x14">
            <control shapeId="1255" r:id="rId194" name="Button 231">
              <controlPr defaultSize="0" print="0" autoFill="0" autoPict="0" macro="[0]!Pulsante29B_Click">
                <anchor moveWithCells="1" sizeWithCells="1">
                  <from>
                    <xdr:col>16</xdr:col>
                    <xdr:colOff>28575</xdr:colOff>
                    <xdr:row>29</xdr:row>
                    <xdr:rowOff>19050</xdr:rowOff>
                  </from>
                  <to>
                    <xdr:col>16</xdr:col>
                    <xdr:colOff>447675</xdr:colOff>
                    <xdr:row>29</xdr:row>
                    <xdr:rowOff>266700</xdr:rowOff>
                  </to>
                </anchor>
              </controlPr>
            </control>
          </mc:Choice>
        </mc:AlternateContent>
        <mc:AlternateContent xmlns:mc="http://schemas.openxmlformats.org/markup-compatibility/2006">
          <mc:Choice Requires="x14">
            <control shapeId="1256" r:id="rId195" name="Button 232">
              <controlPr defaultSize="0" print="0" autoFill="0" autoPict="0" macro="[0]!Pulsante30B_Click">
                <anchor moveWithCells="1" sizeWithCells="1">
                  <from>
                    <xdr:col>16</xdr:col>
                    <xdr:colOff>28575</xdr:colOff>
                    <xdr:row>30</xdr:row>
                    <xdr:rowOff>19050</xdr:rowOff>
                  </from>
                  <to>
                    <xdr:col>16</xdr:col>
                    <xdr:colOff>447675</xdr:colOff>
                    <xdr:row>30</xdr:row>
                    <xdr:rowOff>266700</xdr:rowOff>
                  </to>
                </anchor>
              </controlPr>
            </control>
          </mc:Choice>
        </mc:AlternateContent>
        <mc:AlternateContent xmlns:mc="http://schemas.openxmlformats.org/markup-compatibility/2006">
          <mc:Choice Requires="x14">
            <control shapeId="1257" r:id="rId196" name="Button 233">
              <controlPr defaultSize="0" print="0" autoFill="0" autoPict="0" macro="[0]!Pulsante31B_Click">
                <anchor moveWithCells="1" sizeWithCells="1">
                  <from>
                    <xdr:col>16</xdr:col>
                    <xdr:colOff>28575</xdr:colOff>
                    <xdr:row>31</xdr:row>
                    <xdr:rowOff>19050</xdr:rowOff>
                  </from>
                  <to>
                    <xdr:col>16</xdr:col>
                    <xdr:colOff>447675</xdr:colOff>
                    <xdr:row>31</xdr:row>
                    <xdr:rowOff>266700</xdr:rowOff>
                  </to>
                </anchor>
              </controlPr>
            </control>
          </mc:Choice>
        </mc:AlternateContent>
        <mc:AlternateContent xmlns:mc="http://schemas.openxmlformats.org/markup-compatibility/2006">
          <mc:Choice Requires="x14">
            <control shapeId="1258" r:id="rId197" name="Button 234">
              <controlPr defaultSize="0" print="0" autoFill="0" autoPict="0" macro="[0]!Pulsante32B_Click">
                <anchor moveWithCells="1" sizeWithCells="1">
                  <from>
                    <xdr:col>16</xdr:col>
                    <xdr:colOff>28575</xdr:colOff>
                    <xdr:row>32</xdr:row>
                    <xdr:rowOff>19050</xdr:rowOff>
                  </from>
                  <to>
                    <xdr:col>16</xdr:col>
                    <xdr:colOff>447675</xdr:colOff>
                    <xdr:row>32</xdr:row>
                    <xdr:rowOff>266700</xdr:rowOff>
                  </to>
                </anchor>
              </controlPr>
            </control>
          </mc:Choice>
        </mc:AlternateContent>
        <mc:AlternateContent xmlns:mc="http://schemas.openxmlformats.org/markup-compatibility/2006">
          <mc:Choice Requires="x14">
            <control shapeId="1259" r:id="rId198" name="Button 235">
              <controlPr defaultSize="0" print="0" autoFill="0" autoPict="0" macro="[0]!Pulsante33B_Click">
                <anchor moveWithCells="1" sizeWithCells="1">
                  <from>
                    <xdr:col>16</xdr:col>
                    <xdr:colOff>28575</xdr:colOff>
                    <xdr:row>33</xdr:row>
                    <xdr:rowOff>19050</xdr:rowOff>
                  </from>
                  <to>
                    <xdr:col>16</xdr:col>
                    <xdr:colOff>447675</xdr:colOff>
                    <xdr:row>33</xdr:row>
                    <xdr:rowOff>266700</xdr:rowOff>
                  </to>
                </anchor>
              </controlPr>
            </control>
          </mc:Choice>
        </mc:AlternateContent>
        <mc:AlternateContent xmlns:mc="http://schemas.openxmlformats.org/markup-compatibility/2006">
          <mc:Choice Requires="x14">
            <control shapeId="1260" r:id="rId199" name="Button 236">
              <controlPr defaultSize="0" print="0" autoFill="0" autoPict="0" macro="[0]!Pulsante34B_Click">
                <anchor moveWithCells="1" sizeWithCells="1">
                  <from>
                    <xdr:col>16</xdr:col>
                    <xdr:colOff>28575</xdr:colOff>
                    <xdr:row>34</xdr:row>
                    <xdr:rowOff>19050</xdr:rowOff>
                  </from>
                  <to>
                    <xdr:col>16</xdr:col>
                    <xdr:colOff>447675</xdr:colOff>
                    <xdr:row>34</xdr:row>
                    <xdr:rowOff>266700</xdr:rowOff>
                  </to>
                </anchor>
              </controlPr>
            </control>
          </mc:Choice>
        </mc:AlternateContent>
        <mc:AlternateContent xmlns:mc="http://schemas.openxmlformats.org/markup-compatibility/2006">
          <mc:Choice Requires="x14">
            <control shapeId="1261" r:id="rId200" name="Button 237">
              <controlPr defaultSize="0" print="0" autoFill="0" autoPict="0" macro="[0]!Pulsante35B_Click">
                <anchor moveWithCells="1" sizeWithCells="1">
                  <from>
                    <xdr:col>16</xdr:col>
                    <xdr:colOff>28575</xdr:colOff>
                    <xdr:row>35</xdr:row>
                    <xdr:rowOff>19050</xdr:rowOff>
                  </from>
                  <to>
                    <xdr:col>16</xdr:col>
                    <xdr:colOff>447675</xdr:colOff>
                    <xdr:row>35</xdr:row>
                    <xdr:rowOff>266700</xdr:rowOff>
                  </to>
                </anchor>
              </controlPr>
            </control>
          </mc:Choice>
        </mc:AlternateContent>
        <mc:AlternateContent xmlns:mc="http://schemas.openxmlformats.org/markup-compatibility/2006">
          <mc:Choice Requires="x14">
            <control shapeId="1262" r:id="rId201" name="Button 238">
              <controlPr defaultSize="0" print="0" autoFill="0" autoPict="0" macro="[0]!Pulsante36B_Click">
                <anchor moveWithCells="1" sizeWithCells="1">
                  <from>
                    <xdr:col>16</xdr:col>
                    <xdr:colOff>28575</xdr:colOff>
                    <xdr:row>36</xdr:row>
                    <xdr:rowOff>19050</xdr:rowOff>
                  </from>
                  <to>
                    <xdr:col>16</xdr:col>
                    <xdr:colOff>447675</xdr:colOff>
                    <xdr:row>36</xdr:row>
                    <xdr:rowOff>266700</xdr:rowOff>
                  </to>
                </anchor>
              </controlPr>
            </control>
          </mc:Choice>
        </mc:AlternateContent>
        <mc:AlternateContent xmlns:mc="http://schemas.openxmlformats.org/markup-compatibility/2006">
          <mc:Choice Requires="x14">
            <control shapeId="1263" r:id="rId202" name="Button 239">
              <controlPr defaultSize="0" print="0" autoFill="0" autoPict="0" macro="[0]!Pulsante37B_Click">
                <anchor moveWithCells="1" sizeWithCells="1">
                  <from>
                    <xdr:col>16</xdr:col>
                    <xdr:colOff>28575</xdr:colOff>
                    <xdr:row>37</xdr:row>
                    <xdr:rowOff>19050</xdr:rowOff>
                  </from>
                  <to>
                    <xdr:col>16</xdr:col>
                    <xdr:colOff>447675</xdr:colOff>
                    <xdr:row>37</xdr:row>
                    <xdr:rowOff>266700</xdr:rowOff>
                  </to>
                </anchor>
              </controlPr>
            </control>
          </mc:Choice>
        </mc:AlternateContent>
        <mc:AlternateContent xmlns:mc="http://schemas.openxmlformats.org/markup-compatibility/2006">
          <mc:Choice Requires="x14">
            <control shapeId="1264" r:id="rId203" name="Button 240">
              <controlPr defaultSize="0" print="0" autoFill="0" autoPict="0" macro="[0]!Pulsante38B_Click">
                <anchor moveWithCells="1" sizeWithCells="1">
                  <from>
                    <xdr:col>16</xdr:col>
                    <xdr:colOff>28575</xdr:colOff>
                    <xdr:row>38</xdr:row>
                    <xdr:rowOff>19050</xdr:rowOff>
                  </from>
                  <to>
                    <xdr:col>16</xdr:col>
                    <xdr:colOff>447675</xdr:colOff>
                    <xdr:row>38</xdr:row>
                    <xdr:rowOff>266700</xdr:rowOff>
                  </to>
                </anchor>
              </controlPr>
            </control>
          </mc:Choice>
        </mc:AlternateContent>
        <mc:AlternateContent xmlns:mc="http://schemas.openxmlformats.org/markup-compatibility/2006">
          <mc:Choice Requires="x14">
            <control shapeId="1265" r:id="rId204" name="Button 241">
              <controlPr defaultSize="0" print="0" autoFill="0" autoPict="0" macro="[0]!Pulsante39B_Click">
                <anchor moveWithCells="1" sizeWithCells="1">
                  <from>
                    <xdr:col>16</xdr:col>
                    <xdr:colOff>28575</xdr:colOff>
                    <xdr:row>39</xdr:row>
                    <xdr:rowOff>19050</xdr:rowOff>
                  </from>
                  <to>
                    <xdr:col>16</xdr:col>
                    <xdr:colOff>447675</xdr:colOff>
                    <xdr:row>39</xdr:row>
                    <xdr:rowOff>266700</xdr:rowOff>
                  </to>
                </anchor>
              </controlPr>
            </control>
          </mc:Choice>
        </mc:AlternateContent>
        <mc:AlternateContent xmlns:mc="http://schemas.openxmlformats.org/markup-compatibility/2006">
          <mc:Choice Requires="x14">
            <control shapeId="1266" r:id="rId205" name="Button 242">
              <controlPr defaultSize="0" print="0" autoFill="0" autoPict="0" macro="[0]!Pulsante40B_Click">
                <anchor moveWithCells="1" sizeWithCells="1">
                  <from>
                    <xdr:col>16</xdr:col>
                    <xdr:colOff>28575</xdr:colOff>
                    <xdr:row>40</xdr:row>
                    <xdr:rowOff>19050</xdr:rowOff>
                  </from>
                  <to>
                    <xdr:col>16</xdr:col>
                    <xdr:colOff>447675</xdr:colOff>
                    <xdr:row>40</xdr:row>
                    <xdr:rowOff>266700</xdr:rowOff>
                  </to>
                </anchor>
              </controlPr>
            </control>
          </mc:Choice>
        </mc:AlternateContent>
        <mc:AlternateContent xmlns:mc="http://schemas.openxmlformats.org/markup-compatibility/2006">
          <mc:Choice Requires="x14">
            <control shapeId="1267" r:id="rId206" name="Button 243">
              <controlPr defaultSize="0" print="0" autoFill="0" autoPict="0" macro="[0]!Pulsante41B_Click">
                <anchor moveWithCells="1" sizeWithCells="1">
                  <from>
                    <xdr:col>16</xdr:col>
                    <xdr:colOff>28575</xdr:colOff>
                    <xdr:row>41</xdr:row>
                    <xdr:rowOff>19050</xdr:rowOff>
                  </from>
                  <to>
                    <xdr:col>16</xdr:col>
                    <xdr:colOff>447675</xdr:colOff>
                    <xdr:row>41</xdr:row>
                    <xdr:rowOff>266700</xdr:rowOff>
                  </to>
                </anchor>
              </controlPr>
            </control>
          </mc:Choice>
        </mc:AlternateContent>
        <mc:AlternateContent xmlns:mc="http://schemas.openxmlformats.org/markup-compatibility/2006">
          <mc:Choice Requires="x14">
            <control shapeId="1268" r:id="rId207" name="Button 244">
              <controlPr defaultSize="0" print="0" autoFill="0" autoPict="0" macro="[0]!Pulsante42B_Click">
                <anchor moveWithCells="1" sizeWithCells="1">
                  <from>
                    <xdr:col>16</xdr:col>
                    <xdr:colOff>28575</xdr:colOff>
                    <xdr:row>42</xdr:row>
                    <xdr:rowOff>19050</xdr:rowOff>
                  </from>
                  <to>
                    <xdr:col>16</xdr:col>
                    <xdr:colOff>447675</xdr:colOff>
                    <xdr:row>42</xdr:row>
                    <xdr:rowOff>266700</xdr:rowOff>
                  </to>
                </anchor>
              </controlPr>
            </control>
          </mc:Choice>
        </mc:AlternateContent>
        <mc:AlternateContent xmlns:mc="http://schemas.openxmlformats.org/markup-compatibility/2006">
          <mc:Choice Requires="x14">
            <control shapeId="1269" r:id="rId208" name="Button 245">
              <controlPr defaultSize="0" print="0" autoFill="0" autoPict="0" macro="[0]!Pulsante43B_Click">
                <anchor moveWithCells="1" sizeWithCells="1">
                  <from>
                    <xdr:col>16</xdr:col>
                    <xdr:colOff>28575</xdr:colOff>
                    <xdr:row>43</xdr:row>
                    <xdr:rowOff>19050</xdr:rowOff>
                  </from>
                  <to>
                    <xdr:col>16</xdr:col>
                    <xdr:colOff>447675</xdr:colOff>
                    <xdr:row>43</xdr:row>
                    <xdr:rowOff>266700</xdr:rowOff>
                  </to>
                </anchor>
              </controlPr>
            </control>
          </mc:Choice>
        </mc:AlternateContent>
        <mc:AlternateContent xmlns:mc="http://schemas.openxmlformats.org/markup-compatibility/2006">
          <mc:Choice Requires="x14">
            <control shapeId="1270" r:id="rId209" name="Button 246">
              <controlPr defaultSize="0" print="0" autoFill="0" autoPict="0" macro="[0]!Pulsante44B_Click">
                <anchor moveWithCells="1" sizeWithCells="1">
                  <from>
                    <xdr:col>16</xdr:col>
                    <xdr:colOff>28575</xdr:colOff>
                    <xdr:row>44</xdr:row>
                    <xdr:rowOff>19050</xdr:rowOff>
                  </from>
                  <to>
                    <xdr:col>16</xdr:col>
                    <xdr:colOff>447675</xdr:colOff>
                    <xdr:row>44</xdr:row>
                    <xdr:rowOff>266700</xdr:rowOff>
                  </to>
                </anchor>
              </controlPr>
            </control>
          </mc:Choice>
        </mc:AlternateContent>
        <mc:AlternateContent xmlns:mc="http://schemas.openxmlformats.org/markup-compatibility/2006">
          <mc:Choice Requires="x14">
            <control shapeId="1271" r:id="rId210" name="Button 247">
              <controlPr defaultSize="0" print="0" autoFill="0" autoPict="0" macro="[0]!Pulsante45B_Click">
                <anchor moveWithCells="1" sizeWithCells="1">
                  <from>
                    <xdr:col>16</xdr:col>
                    <xdr:colOff>28575</xdr:colOff>
                    <xdr:row>45</xdr:row>
                    <xdr:rowOff>19050</xdr:rowOff>
                  </from>
                  <to>
                    <xdr:col>16</xdr:col>
                    <xdr:colOff>447675</xdr:colOff>
                    <xdr:row>45</xdr:row>
                    <xdr:rowOff>266700</xdr:rowOff>
                  </to>
                </anchor>
              </controlPr>
            </control>
          </mc:Choice>
        </mc:AlternateContent>
        <mc:AlternateContent xmlns:mc="http://schemas.openxmlformats.org/markup-compatibility/2006">
          <mc:Choice Requires="x14">
            <control shapeId="1272" r:id="rId211" name="Button 248">
              <controlPr defaultSize="0" print="0" autoFill="0" autoPict="0" macro="[0]!Pulsante46B_Click">
                <anchor moveWithCells="1" sizeWithCells="1">
                  <from>
                    <xdr:col>16</xdr:col>
                    <xdr:colOff>28575</xdr:colOff>
                    <xdr:row>46</xdr:row>
                    <xdr:rowOff>19050</xdr:rowOff>
                  </from>
                  <to>
                    <xdr:col>16</xdr:col>
                    <xdr:colOff>447675</xdr:colOff>
                    <xdr:row>46</xdr:row>
                    <xdr:rowOff>266700</xdr:rowOff>
                  </to>
                </anchor>
              </controlPr>
            </control>
          </mc:Choice>
        </mc:AlternateContent>
        <mc:AlternateContent xmlns:mc="http://schemas.openxmlformats.org/markup-compatibility/2006">
          <mc:Choice Requires="x14">
            <control shapeId="1273" r:id="rId212" name="Button 249">
              <controlPr defaultSize="0" print="0" autoFill="0" autoPict="0" macro="[0]!Pulsante47B_Click">
                <anchor moveWithCells="1" sizeWithCells="1">
                  <from>
                    <xdr:col>16</xdr:col>
                    <xdr:colOff>28575</xdr:colOff>
                    <xdr:row>47</xdr:row>
                    <xdr:rowOff>19050</xdr:rowOff>
                  </from>
                  <to>
                    <xdr:col>16</xdr:col>
                    <xdr:colOff>447675</xdr:colOff>
                    <xdr:row>47</xdr:row>
                    <xdr:rowOff>266700</xdr:rowOff>
                  </to>
                </anchor>
              </controlPr>
            </control>
          </mc:Choice>
        </mc:AlternateContent>
        <mc:AlternateContent xmlns:mc="http://schemas.openxmlformats.org/markup-compatibility/2006">
          <mc:Choice Requires="x14">
            <control shapeId="1274" r:id="rId213" name="Button 250">
              <controlPr defaultSize="0" print="0" autoFill="0" autoPict="0" macro="[0]!Pulsante48B_Click">
                <anchor moveWithCells="1" sizeWithCells="1">
                  <from>
                    <xdr:col>16</xdr:col>
                    <xdr:colOff>28575</xdr:colOff>
                    <xdr:row>48</xdr:row>
                    <xdr:rowOff>19050</xdr:rowOff>
                  </from>
                  <to>
                    <xdr:col>16</xdr:col>
                    <xdr:colOff>447675</xdr:colOff>
                    <xdr:row>48</xdr:row>
                    <xdr:rowOff>266700</xdr:rowOff>
                  </to>
                </anchor>
              </controlPr>
            </control>
          </mc:Choice>
        </mc:AlternateContent>
        <mc:AlternateContent xmlns:mc="http://schemas.openxmlformats.org/markup-compatibility/2006">
          <mc:Choice Requires="x14">
            <control shapeId="1275" r:id="rId214" name="Button 251">
              <controlPr defaultSize="0" print="0" autoFill="0" autoPict="0" macro="[0]!Pulsante49B_Click">
                <anchor moveWithCells="1" sizeWithCells="1">
                  <from>
                    <xdr:col>16</xdr:col>
                    <xdr:colOff>28575</xdr:colOff>
                    <xdr:row>49</xdr:row>
                    <xdr:rowOff>19050</xdr:rowOff>
                  </from>
                  <to>
                    <xdr:col>16</xdr:col>
                    <xdr:colOff>447675</xdr:colOff>
                    <xdr:row>49</xdr:row>
                    <xdr:rowOff>266700</xdr:rowOff>
                  </to>
                </anchor>
              </controlPr>
            </control>
          </mc:Choice>
        </mc:AlternateContent>
        <mc:AlternateContent xmlns:mc="http://schemas.openxmlformats.org/markup-compatibility/2006">
          <mc:Choice Requires="x14">
            <control shapeId="1276" r:id="rId215" name="Button 252">
              <controlPr defaultSize="0" print="0" autoFill="0" autoPict="0" macro="[0]!Pulsante53B_Click">
                <anchor moveWithCells="1" sizeWithCells="1">
                  <from>
                    <xdr:col>16</xdr:col>
                    <xdr:colOff>28575</xdr:colOff>
                    <xdr:row>53</xdr:row>
                    <xdr:rowOff>19050</xdr:rowOff>
                  </from>
                  <to>
                    <xdr:col>16</xdr:col>
                    <xdr:colOff>447675</xdr:colOff>
                    <xdr:row>53</xdr:row>
                    <xdr:rowOff>266700</xdr:rowOff>
                  </to>
                </anchor>
              </controlPr>
            </control>
          </mc:Choice>
        </mc:AlternateContent>
        <mc:AlternateContent xmlns:mc="http://schemas.openxmlformats.org/markup-compatibility/2006">
          <mc:Choice Requires="x14">
            <control shapeId="1277" r:id="rId216" name="Button 253">
              <controlPr defaultSize="0" print="0" autoFill="0" autoPict="0" macro="[0]!Pulsante54B_Click">
                <anchor moveWithCells="1" sizeWithCells="1">
                  <from>
                    <xdr:col>16</xdr:col>
                    <xdr:colOff>28575</xdr:colOff>
                    <xdr:row>54</xdr:row>
                    <xdr:rowOff>19050</xdr:rowOff>
                  </from>
                  <to>
                    <xdr:col>16</xdr:col>
                    <xdr:colOff>447675</xdr:colOff>
                    <xdr:row>54</xdr:row>
                    <xdr:rowOff>266700</xdr:rowOff>
                  </to>
                </anchor>
              </controlPr>
            </control>
          </mc:Choice>
        </mc:AlternateContent>
        <mc:AlternateContent xmlns:mc="http://schemas.openxmlformats.org/markup-compatibility/2006">
          <mc:Choice Requires="x14">
            <control shapeId="1278" r:id="rId217" name="Button 254">
              <controlPr defaultSize="0" print="0" autoFill="0" autoPict="0" macro="[0]!Pulsante55B_Click">
                <anchor moveWithCells="1" sizeWithCells="1">
                  <from>
                    <xdr:col>16</xdr:col>
                    <xdr:colOff>28575</xdr:colOff>
                    <xdr:row>55</xdr:row>
                    <xdr:rowOff>19050</xdr:rowOff>
                  </from>
                  <to>
                    <xdr:col>16</xdr:col>
                    <xdr:colOff>447675</xdr:colOff>
                    <xdr:row>55</xdr:row>
                    <xdr:rowOff>266700</xdr:rowOff>
                  </to>
                </anchor>
              </controlPr>
            </control>
          </mc:Choice>
        </mc:AlternateContent>
        <mc:AlternateContent xmlns:mc="http://schemas.openxmlformats.org/markup-compatibility/2006">
          <mc:Choice Requires="x14">
            <control shapeId="1279" r:id="rId218" name="Button 255">
              <controlPr defaultSize="0" print="0" autoFill="0" autoPict="0" macro="[0]!Pulsante56B_Click">
                <anchor moveWithCells="1" sizeWithCells="1">
                  <from>
                    <xdr:col>16</xdr:col>
                    <xdr:colOff>28575</xdr:colOff>
                    <xdr:row>56</xdr:row>
                    <xdr:rowOff>19050</xdr:rowOff>
                  </from>
                  <to>
                    <xdr:col>16</xdr:col>
                    <xdr:colOff>447675</xdr:colOff>
                    <xdr:row>56</xdr:row>
                    <xdr:rowOff>266700</xdr:rowOff>
                  </to>
                </anchor>
              </controlPr>
            </control>
          </mc:Choice>
        </mc:AlternateContent>
        <mc:AlternateContent xmlns:mc="http://schemas.openxmlformats.org/markup-compatibility/2006">
          <mc:Choice Requires="x14">
            <control shapeId="1280" r:id="rId219" name="Button 256">
              <controlPr defaultSize="0" print="0" autoFill="0" autoPict="0" macro="[0]!Pulsante57B_Click">
                <anchor moveWithCells="1" sizeWithCells="1">
                  <from>
                    <xdr:col>16</xdr:col>
                    <xdr:colOff>28575</xdr:colOff>
                    <xdr:row>57</xdr:row>
                    <xdr:rowOff>19050</xdr:rowOff>
                  </from>
                  <to>
                    <xdr:col>16</xdr:col>
                    <xdr:colOff>447675</xdr:colOff>
                    <xdr:row>57</xdr:row>
                    <xdr:rowOff>266700</xdr:rowOff>
                  </to>
                </anchor>
              </controlPr>
            </control>
          </mc:Choice>
        </mc:AlternateContent>
        <mc:AlternateContent xmlns:mc="http://schemas.openxmlformats.org/markup-compatibility/2006">
          <mc:Choice Requires="x14">
            <control shapeId="1281" r:id="rId220" name="Button 257">
              <controlPr defaultSize="0" print="0" autoFill="0" autoPict="0" macro="[0]!Pulsante58B_Click">
                <anchor moveWithCells="1" sizeWithCells="1">
                  <from>
                    <xdr:col>16</xdr:col>
                    <xdr:colOff>28575</xdr:colOff>
                    <xdr:row>58</xdr:row>
                    <xdr:rowOff>19050</xdr:rowOff>
                  </from>
                  <to>
                    <xdr:col>16</xdr:col>
                    <xdr:colOff>447675</xdr:colOff>
                    <xdr:row>58</xdr:row>
                    <xdr:rowOff>266700</xdr:rowOff>
                  </to>
                </anchor>
              </controlPr>
            </control>
          </mc:Choice>
        </mc:AlternateContent>
        <mc:AlternateContent xmlns:mc="http://schemas.openxmlformats.org/markup-compatibility/2006">
          <mc:Choice Requires="x14">
            <control shapeId="1282" r:id="rId221" name="Button 258">
              <controlPr defaultSize="0" print="0" autoFill="0" autoPict="0" macro="[0]!Pulsante59B_Click">
                <anchor moveWithCells="1" sizeWithCells="1">
                  <from>
                    <xdr:col>16</xdr:col>
                    <xdr:colOff>28575</xdr:colOff>
                    <xdr:row>59</xdr:row>
                    <xdr:rowOff>19050</xdr:rowOff>
                  </from>
                  <to>
                    <xdr:col>16</xdr:col>
                    <xdr:colOff>447675</xdr:colOff>
                    <xdr:row>59</xdr:row>
                    <xdr:rowOff>266700</xdr:rowOff>
                  </to>
                </anchor>
              </controlPr>
            </control>
          </mc:Choice>
        </mc:AlternateContent>
        <mc:AlternateContent xmlns:mc="http://schemas.openxmlformats.org/markup-compatibility/2006">
          <mc:Choice Requires="x14">
            <control shapeId="1283" r:id="rId222" name="Button 259">
              <controlPr defaultSize="0" print="0" autoFill="0" autoPict="0" macro="[0]!Pulsante60B_Click">
                <anchor moveWithCells="1" sizeWithCells="1">
                  <from>
                    <xdr:col>16</xdr:col>
                    <xdr:colOff>28575</xdr:colOff>
                    <xdr:row>60</xdr:row>
                    <xdr:rowOff>19050</xdr:rowOff>
                  </from>
                  <to>
                    <xdr:col>16</xdr:col>
                    <xdr:colOff>447675</xdr:colOff>
                    <xdr:row>60</xdr:row>
                    <xdr:rowOff>266700</xdr:rowOff>
                  </to>
                </anchor>
              </controlPr>
            </control>
          </mc:Choice>
        </mc:AlternateContent>
        <mc:AlternateContent xmlns:mc="http://schemas.openxmlformats.org/markup-compatibility/2006">
          <mc:Choice Requires="x14">
            <control shapeId="1284" r:id="rId223" name="Button 260">
              <controlPr defaultSize="0" print="0" autoFill="0" autoPict="0" macro="[0]!Pulsante61B_Click">
                <anchor moveWithCells="1" sizeWithCells="1">
                  <from>
                    <xdr:col>16</xdr:col>
                    <xdr:colOff>28575</xdr:colOff>
                    <xdr:row>61</xdr:row>
                    <xdr:rowOff>19050</xdr:rowOff>
                  </from>
                  <to>
                    <xdr:col>16</xdr:col>
                    <xdr:colOff>447675</xdr:colOff>
                    <xdr:row>61</xdr:row>
                    <xdr:rowOff>266700</xdr:rowOff>
                  </to>
                </anchor>
              </controlPr>
            </control>
          </mc:Choice>
        </mc:AlternateContent>
        <mc:AlternateContent xmlns:mc="http://schemas.openxmlformats.org/markup-compatibility/2006">
          <mc:Choice Requires="x14">
            <control shapeId="1285" r:id="rId224" name="Button 261">
              <controlPr defaultSize="0" print="0" autoFill="0" autoPict="0" macro="[0]!Pulsante62B_Click">
                <anchor moveWithCells="1" sizeWithCells="1">
                  <from>
                    <xdr:col>16</xdr:col>
                    <xdr:colOff>28575</xdr:colOff>
                    <xdr:row>62</xdr:row>
                    <xdr:rowOff>19050</xdr:rowOff>
                  </from>
                  <to>
                    <xdr:col>16</xdr:col>
                    <xdr:colOff>447675</xdr:colOff>
                    <xdr:row>62</xdr:row>
                    <xdr:rowOff>266700</xdr:rowOff>
                  </to>
                </anchor>
              </controlPr>
            </control>
          </mc:Choice>
        </mc:AlternateContent>
        <mc:AlternateContent xmlns:mc="http://schemas.openxmlformats.org/markup-compatibility/2006">
          <mc:Choice Requires="x14">
            <control shapeId="1286" r:id="rId225" name="Button 262">
              <controlPr defaultSize="0" print="0" autoFill="0" autoPict="0" macro="[0]!Pulsante63B_Click">
                <anchor moveWithCells="1" sizeWithCells="1">
                  <from>
                    <xdr:col>16</xdr:col>
                    <xdr:colOff>28575</xdr:colOff>
                    <xdr:row>63</xdr:row>
                    <xdr:rowOff>19050</xdr:rowOff>
                  </from>
                  <to>
                    <xdr:col>16</xdr:col>
                    <xdr:colOff>447675</xdr:colOff>
                    <xdr:row>63</xdr:row>
                    <xdr:rowOff>266700</xdr:rowOff>
                  </to>
                </anchor>
              </controlPr>
            </control>
          </mc:Choice>
        </mc:AlternateContent>
        <mc:AlternateContent xmlns:mc="http://schemas.openxmlformats.org/markup-compatibility/2006">
          <mc:Choice Requires="x14">
            <control shapeId="1287" r:id="rId226" name="Button 263">
              <controlPr defaultSize="0" print="0" autoFill="0" autoPict="0" macro="[0]!Pulsante64B_Click">
                <anchor moveWithCells="1" sizeWithCells="1">
                  <from>
                    <xdr:col>16</xdr:col>
                    <xdr:colOff>28575</xdr:colOff>
                    <xdr:row>64</xdr:row>
                    <xdr:rowOff>19050</xdr:rowOff>
                  </from>
                  <to>
                    <xdr:col>16</xdr:col>
                    <xdr:colOff>447675</xdr:colOff>
                    <xdr:row>64</xdr:row>
                    <xdr:rowOff>266700</xdr:rowOff>
                  </to>
                </anchor>
              </controlPr>
            </control>
          </mc:Choice>
        </mc:AlternateContent>
        <mc:AlternateContent xmlns:mc="http://schemas.openxmlformats.org/markup-compatibility/2006">
          <mc:Choice Requires="x14">
            <control shapeId="1288" r:id="rId227" name="Button 264">
              <controlPr defaultSize="0" print="0" autoFill="0" autoPict="0" macro="[0]!Pulsante65B_Click">
                <anchor moveWithCells="1" sizeWithCells="1">
                  <from>
                    <xdr:col>16</xdr:col>
                    <xdr:colOff>28575</xdr:colOff>
                    <xdr:row>65</xdr:row>
                    <xdr:rowOff>19050</xdr:rowOff>
                  </from>
                  <to>
                    <xdr:col>16</xdr:col>
                    <xdr:colOff>447675</xdr:colOff>
                    <xdr:row>65</xdr:row>
                    <xdr:rowOff>266700</xdr:rowOff>
                  </to>
                </anchor>
              </controlPr>
            </control>
          </mc:Choice>
        </mc:AlternateContent>
        <mc:AlternateContent xmlns:mc="http://schemas.openxmlformats.org/markup-compatibility/2006">
          <mc:Choice Requires="x14">
            <control shapeId="1289" r:id="rId228" name="Button 265">
              <controlPr defaultSize="0" print="0" autoFill="0" autoPict="0" macro="[0]!Pulsante66B_Click">
                <anchor moveWithCells="1" sizeWithCells="1">
                  <from>
                    <xdr:col>16</xdr:col>
                    <xdr:colOff>28575</xdr:colOff>
                    <xdr:row>66</xdr:row>
                    <xdr:rowOff>19050</xdr:rowOff>
                  </from>
                  <to>
                    <xdr:col>16</xdr:col>
                    <xdr:colOff>447675</xdr:colOff>
                    <xdr:row>66</xdr:row>
                    <xdr:rowOff>266700</xdr:rowOff>
                  </to>
                </anchor>
              </controlPr>
            </control>
          </mc:Choice>
        </mc:AlternateContent>
        <mc:AlternateContent xmlns:mc="http://schemas.openxmlformats.org/markup-compatibility/2006">
          <mc:Choice Requires="x14">
            <control shapeId="1290" r:id="rId229" name="Button 266">
              <controlPr defaultSize="0" print="0" autoFill="0" autoPict="0" macro="[0]!Pulsante67B_Click">
                <anchor moveWithCells="1" sizeWithCells="1">
                  <from>
                    <xdr:col>16</xdr:col>
                    <xdr:colOff>28575</xdr:colOff>
                    <xdr:row>67</xdr:row>
                    <xdr:rowOff>19050</xdr:rowOff>
                  </from>
                  <to>
                    <xdr:col>16</xdr:col>
                    <xdr:colOff>447675</xdr:colOff>
                    <xdr:row>67</xdr:row>
                    <xdr:rowOff>266700</xdr:rowOff>
                  </to>
                </anchor>
              </controlPr>
            </control>
          </mc:Choice>
        </mc:AlternateContent>
        <mc:AlternateContent xmlns:mc="http://schemas.openxmlformats.org/markup-compatibility/2006">
          <mc:Choice Requires="x14">
            <control shapeId="1291" r:id="rId230" name="Button 267">
              <controlPr defaultSize="0" print="0" autoFill="0" autoPict="0" macro="[0]!Pulsante68B_Click">
                <anchor moveWithCells="1" sizeWithCells="1">
                  <from>
                    <xdr:col>16</xdr:col>
                    <xdr:colOff>28575</xdr:colOff>
                    <xdr:row>68</xdr:row>
                    <xdr:rowOff>19050</xdr:rowOff>
                  </from>
                  <to>
                    <xdr:col>16</xdr:col>
                    <xdr:colOff>447675</xdr:colOff>
                    <xdr:row>68</xdr:row>
                    <xdr:rowOff>266700</xdr:rowOff>
                  </to>
                </anchor>
              </controlPr>
            </control>
          </mc:Choice>
        </mc:AlternateContent>
        <mc:AlternateContent xmlns:mc="http://schemas.openxmlformats.org/markup-compatibility/2006">
          <mc:Choice Requires="x14">
            <control shapeId="1292" r:id="rId231" name="Button 268">
              <controlPr defaultSize="0" print="0" autoFill="0" autoPict="0" macro="[0]!Pulsante69B_Click">
                <anchor moveWithCells="1" sizeWithCells="1">
                  <from>
                    <xdr:col>16</xdr:col>
                    <xdr:colOff>28575</xdr:colOff>
                    <xdr:row>69</xdr:row>
                    <xdr:rowOff>19050</xdr:rowOff>
                  </from>
                  <to>
                    <xdr:col>16</xdr:col>
                    <xdr:colOff>447675</xdr:colOff>
                    <xdr:row>69</xdr:row>
                    <xdr:rowOff>266700</xdr:rowOff>
                  </to>
                </anchor>
              </controlPr>
            </control>
          </mc:Choice>
        </mc:AlternateContent>
        <mc:AlternateContent xmlns:mc="http://schemas.openxmlformats.org/markup-compatibility/2006">
          <mc:Choice Requires="x14">
            <control shapeId="1293" r:id="rId232" name="Button 269">
              <controlPr defaultSize="0" print="0" autoFill="0" autoPict="0" macro="[0]!Pulsante70B_Click">
                <anchor moveWithCells="1" sizeWithCells="1">
                  <from>
                    <xdr:col>16</xdr:col>
                    <xdr:colOff>28575</xdr:colOff>
                    <xdr:row>70</xdr:row>
                    <xdr:rowOff>19050</xdr:rowOff>
                  </from>
                  <to>
                    <xdr:col>16</xdr:col>
                    <xdr:colOff>447675</xdr:colOff>
                    <xdr:row>70</xdr:row>
                    <xdr:rowOff>266700</xdr:rowOff>
                  </to>
                </anchor>
              </controlPr>
            </control>
          </mc:Choice>
        </mc:AlternateContent>
        <mc:AlternateContent xmlns:mc="http://schemas.openxmlformats.org/markup-compatibility/2006">
          <mc:Choice Requires="x14">
            <control shapeId="1294" r:id="rId233" name="Button 270">
              <controlPr defaultSize="0" print="0" autoFill="0" autoPict="0" macro="[0]!Pulsante71B_Click">
                <anchor moveWithCells="1" sizeWithCells="1">
                  <from>
                    <xdr:col>16</xdr:col>
                    <xdr:colOff>28575</xdr:colOff>
                    <xdr:row>71</xdr:row>
                    <xdr:rowOff>19050</xdr:rowOff>
                  </from>
                  <to>
                    <xdr:col>16</xdr:col>
                    <xdr:colOff>447675</xdr:colOff>
                    <xdr:row>71</xdr:row>
                    <xdr:rowOff>266700</xdr:rowOff>
                  </to>
                </anchor>
              </controlPr>
            </control>
          </mc:Choice>
        </mc:AlternateContent>
        <mc:AlternateContent xmlns:mc="http://schemas.openxmlformats.org/markup-compatibility/2006">
          <mc:Choice Requires="x14">
            <control shapeId="1295" r:id="rId234" name="Button 271">
              <controlPr defaultSize="0" print="0" autoFill="0" autoPict="0" macro="[0]!Pulsante72B_Click">
                <anchor moveWithCells="1" sizeWithCells="1">
                  <from>
                    <xdr:col>16</xdr:col>
                    <xdr:colOff>28575</xdr:colOff>
                    <xdr:row>72</xdr:row>
                    <xdr:rowOff>19050</xdr:rowOff>
                  </from>
                  <to>
                    <xdr:col>16</xdr:col>
                    <xdr:colOff>447675</xdr:colOff>
                    <xdr:row>72</xdr:row>
                    <xdr:rowOff>266700</xdr:rowOff>
                  </to>
                </anchor>
              </controlPr>
            </control>
          </mc:Choice>
        </mc:AlternateContent>
        <mc:AlternateContent xmlns:mc="http://schemas.openxmlformats.org/markup-compatibility/2006">
          <mc:Choice Requires="x14">
            <control shapeId="1296" r:id="rId235" name="Button 272">
              <controlPr defaultSize="0" print="0" autoFill="0" autoPict="0" macro="[0]!Pulsante73B_Click">
                <anchor moveWithCells="1" sizeWithCells="1">
                  <from>
                    <xdr:col>16</xdr:col>
                    <xdr:colOff>28575</xdr:colOff>
                    <xdr:row>73</xdr:row>
                    <xdr:rowOff>19050</xdr:rowOff>
                  </from>
                  <to>
                    <xdr:col>16</xdr:col>
                    <xdr:colOff>447675</xdr:colOff>
                    <xdr:row>73</xdr:row>
                    <xdr:rowOff>266700</xdr:rowOff>
                  </to>
                </anchor>
              </controlPr>
            </control>
          </mc:Choice>
        </mc:AlternateContent>
        <mc:AlternateContent xmlns:mc="http://schemas.openxmlformats.org/markup-compatibility/2006">
          <mc:Choice Requires="x14">
            <control shapeId="1297" r:id="rId236" name="Button 273">
              <controlPr defaultSize="0" print="0" autoFill="0" autoPict="0" macro="[0]!Pulsante75B_Click">
                <anchor moveWithCells="1" sizeWithCells="1">
                  <from>
                    <xdr:col>16</xdr:col>
                    <xdr:colOff>28575</xdr:colOff>
                    <xdr:row>75</xdr:row>
                    <xdr:rowOff>19050</xdr:rowOff>
                  </from>
                  <to>
                    <xdr:col>16</xdr:col>
                    <xdr:colOff>447675</xdr:colOff>
                    <xdr:row>75</xdr:row>
                    <xdr:rowOff>266700</xdr:rowOff>
                  </to>
                </anchor>
              </controlPr>
            </control>
          </mc:Choice>
        </mc:AlternateContent>
        <mc:AlternateContent xmlns:mc="http://schemas.openxmlformats.org/markup-compatibility/2006">
          <mc:Choice Requires="x14">
            <control shapeId="1298" r:id="rId237" name="Button 274">
              <controlPr defaultSize="0" print="0" autoFill="0" autoPict="0" macro="[0]!Pulsante76B_Click">
                <anchor moveWithCells="1" sizeWithCells="1">
                  <from>
                    <xdr:col>16</xdr:col>
                    <xdr:colOff>28575</xdr:colOff>
                    <xdr:row>76</xdr:row>
                    <xdr:rowOff>19050</xdr:rowOff>
                  </from>
                  <to>
                    <xdr:col>16</xdr:col>
                    <xdr:colOff>447675</xdr:colOff>
                    <xdr:row>76</xdr:row>
                    <xdr:rowOff>266700</xdr:rowOff>
                  </to>
                </anchor>
              </controlPr>
            </control>
          </mc:Choice>
        </mc:AlternateContent>
        <mc:AlternateContent xmlns:mc="http://schemas.openxmlformats.org/markup-compatibility/2006">
          <mc:Choice Requires="x14">
            <control shapeId="1299" r:id="rId238" name="Button 275">
              <controlPr defaultSize="0" print="0" autoFill="0" autoPict="0" macro="[0]!Pulsante77B_Click">
                <anchor moveWithCells="1" sizeWithCells="1">
                  <from>
                    <xdr:col>16</xdr:col>
                    <xdr:colOff>28575</xdr:colOff>
                    <xdr:row>77</xdr:row>
                    <xdr:rowOff>19050</xdr:rowOff>
                  </from>
                  <to>
                    <xdr:col>16</xdr:col>
                    <xdr:colOff>447675</xdr:colOff>
                    <xdr:row>77</xdr:row>
                    <xdr:rowOff>266700</xdr:rowOff>
                  </to>
                </anchor>
              </controlPr>
            </control>
          </mc:Choice>
        </mc:AlternateContent>
        <mc:AlternateContent xmlns:mc="http://schemas.openxmlformats.org/markup-compatibility/2006">
          <mc:Choice Requires="x14">
            <control shapeId="1300" r:id="rId239" name="Button 276">
              <controlPr defaultSize="0" print="0" autoFill="0" autoPict="0" macro="[0]!Pulsante78B_Click">
                <anchor moveWithCells="1" sizeWithCells="1">
                  <from>
                    <xdr:col>16</xdr:col>
                    <xdr:colOff>28575</xdr:colOff>
                    <xdr:row>78</xdr:row>
                    <xdr:rowOff>19050</xdr:rowOff>
                  </from>
                  <to>
                    <xdr:col>16</xdr:col>
                    <xdr:colOff>447675</xdr:colOff>
                    <xdr:row>78</xdr:row>
                    <xdr:rowOff>266700</xdr:rowOff>
                  </to>
                </anchor>
              </controlPr>
            </control>
          </mc:Choice>
        </mc:AlternateContent>
        <mc:AlternateContent xmlns:mc="http://schemas.openxmlformats.org/markup-compatibility/2006">
          <mc:Choice Requires="x14">
            <control shapeId="1301" r:id="rId240" name="Button 277">
              <controlPr defaultSize="0" print="0" autoFill="0" autoPict="0" macro="[0]!Pulsante79B_Click">
                <anchor moveWithCells="1" sizeWithCells="1">
                  <from>
                    <xdr:col>16</xdr:col>
                    <xdr:colOff>28575</xdr:colOff>
                    <xdr:row>79</xdr:row>
                    <xdr:rowOff>19050</xdr:rowOff>
                  </from>
                  <to>
                    <xdr:col>16</xdr:col>
                    <xdr:colOff>447675</xdr:colOff>
                    <xdr:row>79</xdr:row>
                    <xdr:rowOff>266700</xdr:rowOff>
                  </to>
                </anchor>
              </controlPr>
            </control>
          </mc:Choice>
        </mc:AlternateContent>
        <mc:AlternateContent xmlns:mc="http://schemas.openxmlformats.org/markup-compatibility/2006">
          <mc:Choice Requires="x14">
            <control shapeId="1302" r:id="rId241" name="Button 278">
              <controlPr defaultSize="0" print="0" autoFill="0" autoPict="0" macro="[0]!Pulsante80B_Click">
                <anchor moveWithCells="1" sizeWithCells="1">
                  <from>
                    <xdr:col>16</xdr:col>
                    <xdr:colOff>28575</xdr:colOff>
                    <xdr:row>80</xdr:row>
                    <xdr:rowOff>19050</xdr:rowOff>
                  </from>
                  <to>
                    <xdr:col>16</xdr:col>
                    <xdr:colOff>447675</xdr:colOff>
                    <xdr:row>80</xdr:row>
                    <xdr:rowOff>266700</xdr:rowOff>
                  </to>
                </anchor>
              </controlPr>
            </control>
          </mc:Choice>
        </mc:AlternateContent>
        <mc:AlternateContent xmlns:mc="http://schemas.openxmlformats.org/markup-compatibility/2006">
          <mc:Choice Requires="x14">
            <control shapeId="1303" r:id="rId242" name="Button 279">
              <controlPr defaultSize="0" print="0" autoFill="0" autoPict="0" macro="[0]!Pulsante81B_Click">
                <anchor moveWithCells="1" sizeWithCells="1">
                  <from>
                    <xdr:col>16</xdr:col>
                    <xdr:colOff>28575</xdr:colOff>
                    <xdr:row>81</xdr:row>
                    <xdr:rowOff>19050</xdr:rowOff>
                  </from>
                  <to>
                    <xdr:col>16</xdr:col>
                    <xdr:colOff>447675</xdr:colOff>
                    <xdr:row>81</xdr:row>
                    <xdr:rowOff>266700</xdr:rowOff>
                  </to>
                </anchor>
              </controlPr>
            </control>
          </mc:Choice>
        </mc:AlternateContent>
        <mc:AlternateContent xmlns:mc="http://schemas.openxmlformats.org/markup-compatibility/2006">
          <mc:Choice Requires="x14">
            <control shapeId="1304" r:id="rId243" name="Button 280">
              <controlPr defaultSize="0" print="0" autoFill="0" autoPict="0" macro="[0]!Pulsante82B_Click">
                <anchor moveWithCells="1" sizeWithCells="1">
                  <from>
                    <xdr:col>16</xdr:col>
                    <xdr:colOff>28575</xdr:colOff>
                    <xdr:row>82</xdr:row>
                    <xdr:rowOff>19050</xdr:rowOff>
                  </from>
                  <to>
                    <xdr:col>16</xdr:col>
                    <xdr:colOff>447675</xdr:colOff>
                    <xdr:row>82</xdr:row>
                    <xdr:rowOff>266700</xdr:rowOff>
                  </to>
                </anchor>
              </controlPr>
            </control>
          </mc:Choice>
        </mc:AlternateContent>
        <mc:AlternateContent xmlns:mc="http://schemas.openxmlformats.org/markup-compatibility/2006">
          <mc:Choice Requires="x14">
            <control shapeId="1305" r:id="rId244" name="Button 281">
              <controlPr defaultSize="0" print="0" autoFill="0" autoPict="0" macro="[0]!Pulsante83B_Click">
                <anchor moveWithCells="1" sizeWithCells="1">
                  <from>
                    <xdr:col>16</xdr:col>
                    <xdr:colOff>28575</xdr:colOff>
                    <xdr:row>83</xdr:row>
                    <xdr:rowOff>19050</xdr:rowOff>
                  </from>
                  <to>
                    <xdr:col>16</xdr:col>
                    <xdr:colOff>447675</xdr:colOff>
                    <xdr:row>83</xdr:row>
                    <xdr:rowOff>266700</xdr:rowOff>
                  </to>
                </anchor>
              </controlPr>
            </control>
          </mc:Choice>
        </mc:AlternateContent>
        <mc:AlternateContent xmlns:mc="http://schemas.openxmlformats.org/markup-compatibility/2006">
          <mc:Choice Requires="x14">
            <control shapeId="1306" r:id="rId245" name="Button 282">
              <controlPr defaultSize="0" print="0" autoFill="0" autoPict="0" macro="[0]!Pulsante84B_Click">
                <anchor moveWithCells="1" sizeWithCells="1">
                  <from>
                    <xdr:col>16</xdr:col>
                    <xdr:colOff>28575</xdr:colOff>
                    <xdr:row>84</xdr:row>
                    <xdr:rowOff>19050</xdr:rowOff>
                  </from>
                  <to>
                    <xdr:col>16</xdr:col>
                    <xdr:colOff>447675</xdr:colOff>
                    <xdr:row>84</xdr:row>
                    <xdr:rowOff>266700</xdr:rowOff>
                  </to>
                </anchor>
              </controlPr>
            </control>
          </mc:Choice>
        </mc:AlternateContent>
        <mc:AlternateContent xmlns:mc="http://schemas.openxmlformats.org/markup-compatibility/2006">
          <mc:Choice Requires="x14">
            <control shapeId="1307" r:id="rId246" name="Button 283">
              <controlPr defaultSize="0" print="0" autoFill="0" autoPict="0" macro="[0]!Pulsante85B_Click">
                <anchor moveWithCells="1" sizeWithCells="1">
                  <from>
                    <xdr:col>16</xdr:col>
                    <xdr:colOff>28575</xdr:colOff>
                    <xdr:row>85</xdr:row>
                    <xdr:rowOff>19050</xdr:rowOff>
                  </from>
                  <to>
                    <xdr:col>16</xdr:col>
                    <xdr:colOff>447675</xdr:colOff>
                    <xdr:row>85</xdr:row>
                    <xdr:rowOff>266700</xdr:rowOff>
                  </to>
                </anchor>
              </controlPr>
            </control>
          </mc:Choice>
        </mc:AlternateContent>
        <mc:AlternateContent xmlns:mc="http://schemas.openxmlformats.org/markup-compatibility/2006">
          <mc:Choice Requires="x14">
            <control shapeId="1308" r:id="rId247" name="Button 284">
              <controlPr defaultSize="0" print="0" autoFill="0" autoPict="0" macro="[0]!Pulsante86B_Click">
                <anchor moveWithCells="1" sizeWithCells="1">
                  <from>
                    <xdr:col>16</xdr:col>
                    <xdr:colOff>28575</xdr:colOff>
                    <xdr:row>86</xdr:row>
                    <xdr:rowOff>19050</xdr:rowOff>
                  </from>
                  <to>
                    <xdr:col>16</xdr:col>
                    <xdr:colOff>447675</xdr:colOff>
                    <xdr:row>86</xdr:row>
                    <xdr:rowOff>266700</xdr:rowOff>
                  </to>
                </anchor>
              </controlPr>
            </control>
          </mc:Choice>
        </mc:AlternateContent>
        <mc:AlternateContent xmlns:mc="http://schemas.openxmlformats.org/markup-compatibility/2006">
          <mc:Choice Requires="x14">
            <control shapeId="1309" r:id="rId248" name="Button 285">
              <controlPr defaultSize="0" print="0" autoFill="0" autoPict="0" macro="[0]!Pulsante87B_Click">
                <anchor moveWithCells="1" sizeWithCells="1">
                  <from>
                    <xdr:col>16</xdr:col>
                    <xdr:colOff>28575</xdr:colOff>
                    <xdr:row>87</xdr:row>
                    <xdr:rowOff>19050</xdr:rowOff>
                  </from>
                  <to>
                    <xdr:col>16</xdr:col>
                    <xdr:colOff>447675</xdr:colOff>
                    <xdr:row>87</xdr:row>
                    <xdr:rowOff>266700</xdr:rowOff>
                  </to>
                </anchor>
              </controlPr>
            </control>
          </mc:Choice>
        </mc:AlternateContent>
        <mc:AlternateContent xmlns:mc="http://schemas.openxmlformats.org/markup-compatibility/2006">
          <mc:Choice Requires="x14">
            <control shapeId="1310" r:id="rId249" name="Button 286">
              <controlPr defaultSize="0" print="0" autoFill="0" autoPict="0" macro="[0]!Pulsante88B_Click">
                <anchor moveWithCells="1" sizeWithCells="1">
                  <from>
                    <xdr:col>16</xdr:col>
                    <xdr:colOff>28575</xdr:colOff>
                    <xdr:row>88</xdr:row>
                    <xdr:rowOff>19050</xdr:rowOff>
                  </from>
                  <to>
                    <xdr:col>16</xdr:col>
                    <xdr:colOff>447675</xdr:colOff>
                    <xdr:row>88</xdr:row>
                    <xdr:rowOff>266700</xdr:rowOff>
                  </to>
                </anchor>
              </controlPr>
            </control>
          </mc:Choice>
        </mc:AlternateContent>
        <mc:AlternateContent xmlns:mc="http://schemas.openxmlformats.org/markup-compatibility/2006">
          <mc:Choice Requires="x14">
            <control shapeId="1311" r:id="rId250" name="Button 287">
              <controlPr defaultSize="0" print="0" autoFill="0" autoPict="0" macro="[0]!Pulsante89B_Click">
                <anchor moveWithCells="1" sizeWithCells="1">
                  <from>
                    <xdr:col>16</xdr:col>
                    <xdr:colOff>28575</xdr:colOff>
                    <xdr:row>89</xdr:row>
                    <xdr:rowOff>19050</xdr:rowOff>
                  </from>
                  <to>
                    <xdr:col>16</xdr:col>
                    <xdr:colOff>447675</xdr:colOff>
                    <xdr:row>89</xdr:row>
                    <xdr:rowOff>266700</xdr:rowOff>
                  </to>
                </anchor>
              </controlPr>
            </control>
          </mc:Choice>
        </mc:AlternateContent>
        <mc:AlternateContent xmlns:mc="http://schemas.openxmlformats.org/markup-compatibility/2006">
          <mc:Choice Requires="x14">
            <control shapeId="1312" r:id="rId251" name="Button 288">
              <controlPr defaultSize="0" print="0" autoFill="0" autoPict="0" macro="[0]!Pulsante90B_Click">
                <anchor moveWithCells="1" sizeWithCells="1">
                  <from>
                    <xdr:col>16</xdr:col>
                    <xdr:colOff>28575</xdr:colOff>
                    <xdr:row>90</xdr:row>
                    <xdr:rowOff>19050</xdr:rowOff>
                  </from>
                  <to>
                    <xdr:col>16</xdr:col>
                    <xdr:colOff>447675</xdr:colOff>
                    <xdr:row>90</xdr:row>
                    <xdr:rowOff>266700</xdr:rowOff>
                  </to>
                </anchor>
              </controlPr>
            </control>
          </mc:Choice>
        </mc:AlternateContent>
        <mc:AlternateContent xmlns:mc="http://schemas.openxmlformats.org/markup-compatibility/2006">
          <mc:Choice Requires="x14">
            <control shapeId="1313" r:id="rId252" name="Button 289">
              <controlPr defaultSize="0" print="0" autoFill="0" autoPict="0" macro="[0]!Pulsante91B_Click">
                <anchor moveWithCells="1" sizeWithCells="1">
                  <from>
                    <xdr:col>16</xdr:col>
                    <xdr:colOff>28575</xdr:colOff>
                    <xdr:row>91</xdr:row>
                    <xdr:rowOff>19050</xdr:rowOff>
                  </from>
                  <to>
                    <xdr:col>16</xdr:col>
                    <xdr:colOff>447675</xdr:colOff>
                    <xdr:row>91</xdr:row>
                    <xdr:rowOff>266700</xdr:rowOff>
                  </to>
                </anchor>
              </controlPr>
            </control>
          </mc:Choice>
        </mc:AlternateContent>
        <mc:AlternateContent xmlns:mc="http://schemas.openxmlformats.org/markup-compatibility/2006">
          <mc:Choice Requires="x14">
            <control shapeId="1314" r:id="rId253" name="Button 290">
              <controlPr defaultSize="0" print="0" autoFill="0" autoPict="0" macro="[0]!Pulsante92B_Click">
                <anchor moveWithCells="1" sizeWithCells="1">
                  <from>
                    <xdr:col>16</xdr:col>
                    <xdr:colOff>28575</xdr:colOff>
                    <xdr:row>92</xdr:row>
                    <xdr:rowOff>19050</xdr:rowOff>
                  </from>
                  <to>
                    <xdr:col>16</xdr:col>
                    <xdr:colOff>447675</xdr:colOff>
                    <xdr:row>92</xdr:row>
                    <xdr:rowOff>266700</xdr:rowOff>
                  </to>
                </anchor>
              </controlPr>
            </control>
          </mc:Choice>
        </mc:AlternateContent>
        <mc:AlternateContent xmlns:mc="http://schemas.openxmlformats.org/markup-compatibility/2006">
          <mc:Choice Requires="x14">
            <control shapeId="1315" r:id="rId254" name="Button 291">
              <controlPr defaultSize="0" print="0" autoFill="0" autoPict="0" macro="[0]!Pulsante93B_Click">
                <anchor moveWithCells="1" sizeWithCells="1">
                  <from>
                    <xdr:col>16</xdr:col>
                    <xdr:colOff>28575</xdr:colOff>
                    <xdr:row>93</xdr:row>
                    <xdr:rowOff>19050</xdr:rowOff>
                  </from>
                  <to>
                    <xdr:col>16</xdr:col>
                    <xdr:colOff>447675</xdr:colOff>
                    <xdr:row>93</xdr:row>
                    <xdr:rowOff>266700</xdr:rowOff>
                  </to>
                </anchor>
              </controlPr>
            </control>
          </mc:Choice>
        </mc:AlternateContent>
        <mc:AlternateContent xmlns:mc="http://schemas.openxmlformats.org/markup-compatibility/2006">
          <mc:Choice Requires="x14">
            <control shapeId="1316" r:id="rId255" name="Button 292">
              <controlPr defaultSize="0" print="0" autoFill="0" autoPict="0" macro="[0]!Pulsante94B_Click">
                <anchor moveWithCells="1" sizeWithCells="1">
                  <from>
                    <xdr:col>16</xdr:col>
                    <xdr:colOff>28575</xdr:colOff>
                    <xdr:row>94</xdr:row>
                    <xdr:rowOff>19050</xdr:rowOff>
                  </from>
                  <to>
                    <xdr:col>16</xdr:col>
                    <xdr:colOff>447675</xdr:colOff>
                    <xdr:row>94</xdr:row>
                    <xdr:rowOff>266700</xdr:rowOff>
                  </to>
                </anchor>
              </controlPr>
            </control>
          </mc:Choice>
        </mc:AlternateContent>
        <mc:AlternateContent xmlns:mc="http://schemas.openxmlformats.org/markup-compatibility/2006">
          <mc:Choice Requires="x14">
            <control shapeId="1317" r:id="rId256" name="Button 293">
              <controlPr defaultSize="0" print="0" autoFill="0" autoPict="0" macro="[0]!Pulsante95B_Click">
                <anchor moveWithCells="1" sizeWithCells="1">
                  <from>
                    <xdr:col>16</xdr:col>
                    <xdr:colOff>28575</xdr:colOff>
                    <xdr:row>95</xdr:row>
                    <xdr:rowOff>19050</xdr:rowOff>
                  </from>
                  <to>
                    <xdr:col>16</xdr:col>
                    <xdr:colOff>447675</xdr:colOff>
                    <xdr:row>95</xdr:row>
                    <xdr:rowOff>266700</xdr:rowOff>
                  </to>
                </anchor>
              </controlPr>
            </control>
          </mc:Choice>
        </mc:AlternateContent>
        <mc:AlternateContent xmlns:mc="http://schemas.openxmlformats.org/markup-compatibility/2006">
          <mc:Choice Requires="x14">
            <control shapeId="1318" r:id="rId257" name="Button 294">
              <controlPr defaultSize="0" print="0" autoFill="0" autoPict="0" macro="[0]!Pulsante96B_Click">
                <anchor moveWithCells="1" sizeWithCells="1">
                  <from>
                    <xdr:col>16</xdr:col>
                    <xdr:colOff>28575</xdr:colOff>
                    <xdr:row>96</xdr:row>
                    <xdr:rowOff>19050</xdr:rowOff>
                  </from>
                  <to>
                    <xdr:col>16</xdr:col>
                    <xdr:colOff>447675</xdr:colOff>
                    <xdr:row>96</xdr:row>
                    <xdr:rowOff>266700</xdr:rowOff>
                  </to>
                </anchor>
              </controlPr>
            </control>
          </mc:Choice>
        </mc:AlternateContent>
        <mc:AlternateContent xmlns:mc="http://schemas.openxmlformats.org/markup-compatibility/2006">
          <mc:Choice Requires="x14">
            <control shapeId="1319" r:id="rId258" name="Button 295">
              <controlPr defaultSize="0" print="0" autoFill="0" autoPict="0" macro="[0]!Pulsante97B_Click">
                <anchor moveWithCells="1" sizeWithCells="1">
                  <from>
                    <xdr:col>16</xdr:col>
                    <xdr:colOff>28575</xdr:colOff>
                    <xdr:row>97</xdr:row>
                    <xdr:rowOff>19050</xdr:rowOff>
                  </from>
                  <to>
                    <xdr:col>16</xdr:col>
                    <xdr:colOff>447675</xdr:colOff>
                    <xdr:row>97</xdr:row>
                    <xdr:rowOff>266700</xdr:rowOff>
                  </to>
                </anchor>
              </controlPr>
            </control>
          </mc:Choice>
        </mc:AlternateContent>
        <mc:AlternateContent xmlns:mc="http://schemas.openxmlformats.org/markup-compatibility/2006">
          <mc:Choice Requires="x14">
            <control shapeId="1320" r:id="rId259" name="Button 296">
              <controlPr defaultSize="0" print="0" autoFill="0" autoPict="0" macro="[0]!Pulsante98B_Click">
                <anchor moveWithCells="1" sizeWithCells="1">
                  <from>
                    <xdr:col>16</xdr:col>
                    <xdr:colOff>28575</xdr:colOff>
                    <xdr:row>98</xdr:row>
                    <xdr:rowOff>19050</xdr:rowOff>
                  </from>
                  <to>
                    <xdr:col>16</xdr:col>
                    <xdr:colOff>447675</xdr:colOff>
                    <xdr:row>98</xdr:row>
                    <xdr:rowOff>266700</xdr:rowOff>
                  </to>
                </anchor>
              </controlPr>
            </control>
          </mc:Choice>
        </mc:AlternateContent>
        <mc:AlternateContent xmlns:mc="http://schemas.openxmlformats.org/markup-compatibility/2006">
          <mc:Choice Requires="x14">
            <control shapeId="1321" r:id="rId260" name="Button 297">
              <controlPr defaultSize="0" print="0" autoFill="0" autoPict="0" macro="[0]!Pulsante99B_Click">
                <anchor moveWithCells="1" sizeWithCells="1">
                  <from>
                    <xdr:col>16</xdr:col>
                    <xdr:colOff>28575</xdr:colOff>
                    <xdr:row>99</xdr:row>
                    <xdr:rowOff>19050</xdr:rowOff>
                  </from>
                  <to>
                    <xdr:col>16</xdr:col>
                    <xdr:colOff>447675</xdr:colOff>
                    <xdr:row>99</xdr:row>
                    <xdr:rowOff>266700</xdr:rowOff>
                  </to>
                </anchor>
              </controlPr>
            </control>
          </mc:Choice>
        </mc:AlternateContent>
        <mc:AlternateContent xmlns:mc="http://schemas.openxmlformats.org/markup-compatibility/2006">
          <mc:Choice Requires="x14">
            <control shapeId="1322" r:id="rId261" name="Button 298">
              <controlPr defaultSize="0" print="0" autoFill="0" autoPict="0" macro="[0]!Pulsante100B_Click">
                <anchor moveWithCells="1" sizeWithCells="1">
                  <from>
                    <xdr:col>16</xdr:col>
                    <xdr:colOff>28575</xdr:colOff>
                    <xdr:row>100</xdr:row>
                    <xdr:rowOff>19050</xdr:rowOff>
                  </from>
                  <to>
                    <xdr:col>16</xdr:col>
                    <xdr:colOff>447675</xdr:colOff>
                    <xdr:row>100</xdr:row>
                    <xdr:rowOff>266700</xdr:rowOff>
                  </to>
                </anchor>
              </controlPr>
            </control>
          </mc:Choice>
        </mc:AlternateContent>
        <mc:AlternateContent xmlns:mc="http://schemas.openxmlformats.org/markup-compatibility/2006">
          <mc:Choice Requires="x14">
            <control shapeId="1323" r:id="rId262" name="Button 299">
              <controlPr defaultSize="0" print="0" autoFill="0" autoPict="0" macro="[0]!Pulsante101B_Click">
                <anchor moveWithCells="1" sizeWithCells="1">
                  <from>
                    <xdr:col>16</xdr:col>
                    <xdr:colOff>28575</xdr:colOff>
                    <xdr:row>101</xdr:row>
                    <xdr:rowOff>19050</xdr:rowOff>
                  </from>
                  <to>
                    <xdr:col>16</xdr:col>
                    <xdr:colOff>447675</xdr:colOff>
                    <xdr:row>101</xdr:row>
                    <xdr:rowOff>266700</xdr:rowOff>
                  </to>
                </anchor>
              </controlPr>
            </control>
          </mc:Choice>
        </mc:AlternateContent>
        <mc:AlternateContent xmlns:mc="http://schemas.openxmlformats.org/markup-compatibility/2006">
          <mc:Choice Requires="x14">
            <control shapeId="1324" r:id="rId263" name="Button 300">
              <controlPr defaultSize="0" print="0" autoFill="0" autoPict="0" macro="[0]!Pulsante102B_Click">
                <anchor moveWithCells="1" sizeWithCells="1">
                  <from>
                    <xdr:col>16</xdr:col>
                    <xdr:colOff>28575</xdr:colOff>
                    <xdr:row>102</xdr:row>
                    <xdr:rowOff>19050</xdr:rowOff>
                  </from>
                  <to>
                    <xdr:col>16</xdr:col>
                    <xdr:colOff>447675</xdr:colOff>
                    <xdr:row>102</xdr:row>
                    <xdr:rowOff>266700</xdr:rowOff>
                  </to>
                </anchor>
              </controlPr>
            </control>
          </mc:Choice>
        </mc:AlternateContent>
        <mc:AlternateContent xmlns:mc="http://schemas.openxmlformats.org/markup-compatibility/2006">
          <mc:Choice Requires="x14">
            <control shapeId="1325" r:id="rId264" name="Button 301">
              <controlPr defaultSize="0" print="0" autoFill="0" autoPict="0" macro="[0]!Pulsante103B_Click">
                <anchor moveWithCells="1" sizeWithCells="1">
                  <from>
                    <xdr:col>16</xdr:col>
                    <xdr:colOff>28575</xdr:colOff>
                    <xdr:row>103</xdr:row>
                    <xdr:rowOff>19050</xdr:rowOff>
                  </from>
                  <to>
                    <xdr:col>16</xdr:col>
                    <xdr:colOff>447675</xdr:colOff>
                    <xdr:row>103</xdr:row>
                    <xdr:rowOff>266700</xdr:rowOff>
                  </to>
                </anchor>
              </controlPr>
            </control>
          </mc:Choice>
        </mc:AlternateContent>
        <mc:AlternateContent xmlns:mc="http://schemas.openxmlformats.org/markup-compatibility/2006">
          <mc:Choice Requires="x14">
            <control shapeId="1326" r:id="rId265" name="Button 302">
              <controlPr defaultSize="0" print="0" autoFill="0" autoPict="0" macro="[0]!Pulsante104B_Click">
                <anchor moveWithCells="1" sizeWithCells="1">
                  <from>
                    <xdr:col>16</xdr:col>
                    <xdr:colOff>28575</xdr:colOff>
                    <xdr:row>104</xdr:row>
                    <xdr:rowOff>19050</xdr:rowOff>
                  </from>
                  <to>
                    <xdr:col>16</xdr:col>
                    <xdr:colOff>447675</xdr:colOff>
                    <xdr:row>104</xdr:row>
                    <xdr:rowOff>266700</xdr:rowOff>
                  </to>
                </anchor>
              </controlPr>
            </control>
          </mc:Choice>
        </mc:AlternateContent>
        <mc:AlternateContent xmlns:mc="http://schemas.openxmlformats.org/markup-compatibility/2006">
          <mc:Choice Requires="x14">
            <control shapeId="1327" r:id="rId266" name="Button 303">
              <controlPr defaultSize="0" print="0" autoFill="0" autoPict="0" macro="[0]!Pulsante105B_Click">
                <anchor moveWithCells="1" sizeWithCells="1">
                  <from>
                    <xdr:col>16</xdr:col>
                    <xdr:colOff>28575</xdr:colOff>
                    <xdr:row>105</xdr:row>
                    <xdr:rowOff>19050</xdr:rowOff>
                  </from>
                  <to>
                    <xdr:col>16</xdr:col>
                    <xdr:colOff>447675</xdr:colOff>
                    <xdr:row>105</xdr:row>
                    <xdr:rowOff>266700</xdr:rowOff>
                  </to>
                </anchor>
              </controlPr>
            </control>
          </mc:Choice>
        </mc:AlternateContent>
        <mc:AlternateContent xmlns:mc="http://schemas.openxmlformats.org/markup-compatibility/2006">
          <mc:Choice Requires="x14">
            <control shapeId="1328" r:id="rId267" name="Button 304">
              <controlPr defaultSize="0" print="0" autoFill="0" autoPict="0" macro="[0]!Pulsante106B_Click">
                <anchor moveWithCells="1" sizeWithCells="1">
                  <from>
                    <xdr:col>16</xdr:col>
                    <xdr:colOff>28575</xdr:colOff>
                    <xdr:row>106</xdr:row>
                    <xdr:rowOff>19050</xdr:rowOff>
                  </from>
                  <to>
                    <xdr:col>16</xdr:col>
                    <xdr:colOff>447675</xdr:colOff>
                    <xdr:row>106</xdr:row>
                    <xdr:rowOff>266700</xdr:rowOff>
                  </to>
                </anchor>
              </controlPr>
            </control>
          </mc:Choice>
        </mc:AlternateContent>
        <mc:AlternateContent xmlns:mc="http://schemas.openxmlformats.org/markup-compatibility/2006">
          <mc:Choice Requires="x14">
            <control shapeId="1329" r:id="rId268" name="Button 305">
              <controlPr defaultSize="0" print="0" autoFill="0" autoPict="0" macro="[0]!Pulsante107b_Click">
                <anchor moveWithCells="1" sizeWithCells="1">
                  <from>
                    <xdr:col>16</xdr:col>
                    <xdr:colOff>28575</xdr:colOff>
                    <xdr:row>107</xdr:row>
                    <xdr:rowOff>19050</xdr:rowOff>
                  </from>
                  <to>
                    <xdr:col>16</xdr:col>
                    <xdr:colOff>447675</xdr:colOff>
                    <xdr:row>107</xdr:row>
                    <xdr:rowOff>266700</xdr:rowOff>
                  </to>
                </anchor>
              </controlPr>
            </control>
          </mc:Choice>
        </mc:AlternateContent>
        <mc:AlternateContent xmlns:mc="http://schemas.openxmlformats.org/markup-compatibility/2006">
          <mc:Choice Requires="x14">
            <control shapeId="1330" r:id="rId269" name="Button 306">
              <controlPr defaultSize="0" print="0" autoFill="0" autoPict="0" macro="[0]!Pulsante108B_Click">
                <anchor moveWithCells="1" sizeWithCells="1">
                  <from>
                    <xdr:col>16</xdr:col>
                    <xdr:colOff>28575</xdr:colOff>
                    <xdr:row>108</xdr:row>
                    <xdr:rowOff>19050</xdr:rowOff>
                  </from>
                  <to>
                    <xdr:col>16</xdr:col>
                    <xdr:colOff>447675</xdr:colOff>
                    <xdr:row>108</xdr:row>
                    <xdr:rowOff>266700</xdr:rowOff>
                  </to>
                </anchor>
              </controlPr>
            </control>
          </mc:Choice>
        </mc:AlternateContent>
        <mc:AlternateContent xmlns:mc="http://schemas.openxmlformats.org/markup-compatibility/2006">
          <mc:Choice Requires="x14">
            <control shapeId="1331" r:id="rId270" name="Button 307">
              <controlPr defaultSize="0" print="0" autoFill="0" autoPict="0" macro="[0]!Pulsante109B_Click">
                <anchor moveWithCells="1" sizeWithCells="1">
                  <from>
                    <xdr:col>16</xdr:col>
                    <xdr:colOff>28575</xdr:colOff>
                    <xdr:row>109</xdr:row>
                    <xdr:rowOff>19050</xdr:rowOff>
                  </from>
                  <to>
                    <xdr:col>16</xdr:col>
                    <xdr:colOff>447675</xdr:colOff>
                    <xdr:row>109</xdr:row>
                    <xdr:rowOff>266700</xdr:rowOff>
                  </to>
                </anchor>
              </controlPr>
            </control>
          </mc:Choice>
        </mc:AlternateContent>
        <mc:AlternateContent xmlns:mc="http://schemas.openxmlformats.org/markup-compatibility/2006">
          <mc:Choice Requires="x14">
            <control shapeId="1332" r:id="rId271" name="Button 308">
              <controlPr defaultSize="0" print="0" autoFill="0" autoPict="0" macro="[0]!Pulsante110B_Click">
                <anchor moveWithCells="1" sizeWithCells="1">
                  <from>
                    <xdr:col>16</xdr:col>
                    <xdr:colOff>28575</xdr:colOff>
                    <xdr:row>110</xdr:row>
                    <xdr:rowOff>19050</xdr:rowOff>
                  </from>
                  <to>
                    <xdr:col>16</xdr:col>
                    <xdr:colOff>447675</xdr:colOff>
                    <xdr:row>110</xdr:row>
                    <xdr:rowOff>266700</xdr:rowOff>
                  </to>
                </anchor>
              </controlPr>
            </control>
          </mc:Choice>
        </mc:AlternateContent>
        <mc:AlternateContent xmlns:mc="http://schemas.openxmlformats.org/markup-compatibility/2006">
          <mc:Choice Requires="x14">
            <control shapeId="1333" r:id="rId272" name="Button 309">
              <controlPr defaultSize="0" print="0" autoFill="0" autoPict="0" macro="[0]!Pulsante111B_Click">
                <anchor moveWithCells="1" sizeWithCells="1">
                  <from>
                    <xdr:col>16</xdr:col>
                    <xdr:colOff>28575</xdr:colOff>
                    <xdr:row>111</xdr:row>
                    <xdr:rowOff>19050</xdr:rowOff>
                  </from>
                  <to>
                    <xdr:col>16</xdr:col>
                    <xdr:colOff>447675</xdr:colOff>
                    <xdr:row>111</xdr:row>
                    <xdr:rowOff>266700</xdr:rowOff>
                  </to>
                </anchor>
              </controlPr>
            </control>
          </mc:Choice>
        </mc:AlternateContent>
        <mc:AlternateContent xmlns:mc="http://schemas.openxmlformats.org/markup-compatibility/2006">
          <mc:Choice Requires="x14">
            <control shapeId="1334" r:id="rId273" name="Button 310">
              <controlPr defaultSize="0" print="0" autoFill="0" autoPict="0" macro="[0]!Pulsante112B_Click">
                <anchor moveWithCells="1" sizeWithCells="1">
                  <from>
                    <xdr:col>16</xdr:col>
                    <xdr:colOff>28575</xdr:colOff>
                    <xdr:row>112</xdr:row>
                    <xdr:rowOff>19050</xdr:rowOff>
                  </from>
                  <to>
                    <xdr:col>16</xdr:col>
                    <xdr:colOff>447675</xdr:colOff>
                    <xdr:row>112</xdr:row>
                    <xdr:rowOff>266700</xdr:rowOff>
                  </to>
                </anchor>
              </controlPr>
            </control>
          </mc:Choice>
        </mc:AlternateContent>
        <mc:AlternateContent xmlns:mc="http://schemas.openxmlformats.org/markup-compatibility/2006">
          <mc:Choice Requires="x14">
            <control shapeId="1335" r:id="rId274" name="Button 311">
              <controlPr defaultSize="0" print="0" autoFill="0" autoPict="0" macro="[0]!Pulsante113B_Click">
                <anchor moveWithCells="1" sizeWithCells="1">
                  <from>
                    <xdr:col>16</xdr:col>
                    <xdr:colOff>28575</xdr:colOff>
                    <xdr:row>113</xdr:row>
                    <xdr:rowOff>19050</xdr:rowOff>
                  </from>
                  <to>
                    <xdr:col>16</xdr:col>
                    <xdr:colOff>447675</xdr:colOff>
                    <xdr:row>113</xdr:row>
                    <xdr:rowOff>266700</xdr:rowOff>
                  </to>
                </anchor>
              </controlPr>
            </control>
          </mc:Choice>
        </mc:AlternateContent>
        <mc:AlternateContent xmlns:mc="http://schemas.openxmlformats.org/markup-compatibility/2006">
          <mc:Choice Requires="x14">
            <control shapeId="1336" r:id="rId275" name="Button 312">
              <controlPr defaultSize="0" print="0" autoFill="0" autoPict="0" macro="[0]!Pulsante114B_Click">
                <anchor moveWithCells="1" sizeWithCells="1">
                  <from>
                    <xdr:col>16</xdr:col>
                    <xdr:colOff>28575</xdr:colOff>
                    <xdr:row>114</xdr:row>
                    <xdr:rowOff>19050</xdr:rowOff>
                  </from>
                  <to>
                    <xdr:col>16</xdr:col>
                    <xdr:colOff>447675</xdr:colOff>
                    <xdr:row>114</xdr:row>
                    <xdr:rowOff>266700</xdr:rowOff>
                  </to>
                </anchor>
              </controlPr>
            </control>
          </mc:Choice>
        </mc:AlternateContent>
        <mc:AlternateContent xmlns:mc="http://schemas.openxmlformats.org/markup-compatibility/2006">
          <mc:Choice Requires="x14">
            <control shapeId="1337" r:id="rId276" name="Button 313">
              <controlPr defaultSize="0" print="0" autoFill="0" autoPict="0" macro="[0]!Pulsante115B_Click">
                <anchor moveWithCells="1" sizeWithCells="1">
                  <from>
                    <xdr:col>16</xdr:col>
                    <xdr:colOff>28575</xdr:colOff>
                    <xdr:row>115</xdr:row>
                    <xdr:rowOff>19050</xdr:rowOff>
                  </from>
                  <to>
                    <xdr:col>16</xdr:col>
                    <xdr:colOff>447675</xdr:colOff>
                    <xdr:row>115</xdr:row>
                    <xdr:rowOff>266700</xdr:rowOff>
                  </to>
                </anchor>
              </controlPr>
            </control>
          </mc:Choice>
        </mc:AlternateContent>
        <mc:AlternateContent xmlns:mc="http://schemas.openxmlformats.org/markup-compatibility/2006">
          <mc:Choice Requires="x14">
            <control shapeId="1338" r:id="rId277" name="Button 314">
              <controlPr defaultSize="0" print="0" autoFill="0" autoPict="0" macro="[0]!Pulsante116B_Click">
                <anchor moveWithCells="1" sizeWithCells="1">
                  <from>
                    <xdr:col>16</xdr:col>
                    <xdr:colOff>28575</xdr:colOff>
                    <xdr:row>116</xdr:row>
                    <xdr:rowOff>19050</xdr:rowOff>
                  </from>
                  <to>
                    <xdr:col>16</xdr:col>
                    <xdr:colOff>447675</xdr:colOff>
                    <xdr:row>116</xdr:row>
                    <xdr:rowOff>266700</xdr:rowOff>
                  </to>
                </anchor>
              </controlPr>
            </control>
          </mc:Choice>
        </mc:AlternateContent>
        <mc:AlternateContent xmlns:mc="http://schemas.openxmlformats.org/markup-compatibility/2006">
          <mc:Choice Requires="x14">
            <control shapeId="1339" r:id="rId278" name="Button 315">
              <controlPr defaultSize="0" print="0" autoFill="0" autoPict="0" macro="[0]!Pulsante117B_Click">
                <anchor moveWithCells="1" sizeWithCells="1">
                  <from>
                    <xdr:col>16</xdr:col>
                    <xdr:colOff>28575</xdr:colOff>
                    <xdr:row>117</xdr:row>
                    <xdr:rowOff>19050</xdr:rowOff>
                  </from>
                  <to>
                    <xdr:col>16</xdr:col>
                    <xdr:colOff>447675</xdr:colOff>
                    <xdr:row>117</xdr:row>
                    <xdr:rowOff>266700</xdr:rowOff>
                  </to>
                </anchor>
              </controlPr>
            </control>
          </mc:Choice>
        </mc:AlternateContent>
        <mc:AlternateContent xmlns:mc="http://schemas.openxmlformats.org/markup-compatibility/2006">
          <mc:Choice Requires="x14">
            <control shapeId="1340" r:id="rId279" name="Button 316">
              <controlPr defaultSize="0" print="0" autoFill="0" autoPict="0" macro="[0]!Pulsante118B_Click">
                <anchor moveWithCells="1" sizeWithCells="1">
                  <from>
                    <xdr:col>16</xdr:col>
                    <xdr:colOff>28575</xdr:colOff>
                    <xdr:row>118</xdr:row>
                    <xdr:rowOff>19050</xdr:rowOff>
                  </from>
                  <to>
                    <xdr:col>16</xdr:col>
                    <xdr:colOff>447675</xdr:colOff>
                    <xdr:row>118</xdr:row>
                    <xdr:rowOff>266700</xdr:rowOff>
                  </to>
                </anchor>
              </controlPr>
            </control>
          </mc:Choice>
        </mc:AlternateContent>
        <mc:AlternateContent xmlns:mc="http://schemas.openxmlformats.org/markup-compatibility/2006">
          <mc:Choice Requires="x14">
            <control shapeId="1341" r:id="rId280" name="Button 317">
              <controlPr defaultSize="0" print="0" autoFill="0" autoPict="0" macro="[0]!Pulsante119B_Click">
                <anchor moveWithCells="1" sizeWithCells="1">
                  <from>
                    <xdr:col>16</xdr:col>
                    <xdr:colOff>28575</xdr:colOff>
                    <xdr:row>119</xdr:row>
                    <xdr:rowOff>19050</xdr:rowOff>
                  </from>
                  <to>
                    <xdr:col>16</xdr:col>
                    <xdr:colOff>447675</xdr:colOff>
                    <xdr:row>119</xdr:row>
                    <xdr:rowOff>266700</xdr:rowOff>
                  </to>
                </anchor>
              </controlPr>
            </control>
          </mc:Choice>
        </mc:AlternateContent>
        <mc:AlternateContent xmlns:mc="http://schemas.openxmlformats.org/markup-compatibility/2006">
          <mc:Choice Requires="x14">
            <control shapeId="1342" r:id="rId281" name="Button 318">
              <controlPr defaultSize="0" print="0" autoFill="0" autoPict="0" macro="[0]!Pulsante120B_Click">
                <anchor moveWithCells="1" sizeWithCells="1">
                  <from>
                    <xdr:col>16</xdr:col>
                    <xdr:colOff>28575</xdr:colOff>
                    <xdr:row>120</xdr:row>
                    <xdr:rowOff>19050</xdr:rowOff>
                  </from>
                  <to>
                    <xdr:col>16</xdr:col>
                    <xdr:colOff>447675</xdr:colOff>
                    <xdr:row>120</xdr:row>
                    <xdr:rowOff>266700</xdr:rowOff>
                  </to>
                </anchor>
              </controlPr>
            </control>
          </mc:Choice>
        </mc:AlternateContent>
        <mc:AlternateContent xmlns:mc="http://schemas.openxmlformats.org/markup-compatibility/2006">
          <mc:Choice Requires="x14">
            <control shapeId="1343" r:id="rId282" name="Button 319">
              <controlPr defaultSize="0" print="0" autoFill="0" autoPict="0" macro="[0]!Pulsante121B_Click">
                <anchor moveWithCells="1" sizeWithCells="1">
                  <from>
                    <xdr:col>16</xdr:col>
                    <xdr:colOff>28575</xdr:colOff>
                    <xdr:row>121</xdr:row>
                    <xdr:rowOff>19050</xdr:rowOff>
                  </from>
                  <to>
                    <xdr:col>16</xdr:col>
                    <xdr:colOff>447675</xdr:colOff>
                    <xdr:row>121</xdr:row>
                    <xdr:rowOff>266700</xdr:rowOff>
                  </to>
                </anchor>
              </controlPr>
            </control>
          </mc:Choice>
        </mc:AlternateContent>
        <mc:AlternateContent xmlns:mc="http://schemas.openxmlformats.org/markup-compatibility/2006">
          <mc:Choice Requires="x14">
            <control shapeId="1344" r:id="rId283" name="Button 320">
              <controlPr defaultSize="0" print="0" autoFill="0" autoPict="0" macro="[0]!Pulsante122B_Click">
                <anchor moveWithCells="1" sizeWithCells="1">
                  <from>
                    <xdr:col>16</xdr:col>
                    <xdr:colOff>28575</xdr:colOff>
                    <xdr:row>122</xdr:row>
                    <xdr:rowOff>19050</xdr:rowOff>
                  </from>
                  <to>
                    <xdr:col>16</xdr:col>
                    <xdr:colOff>447675</xdr:colOff>
                    <xdr:row>122</xdr:row>
                    <xdr:rowOff>266700</xdr:rowOff>
                  </to>
                </anchor>
              </controlPr>
            </control>
          </mc:Choice>
        </mc:AlternateContent>
        <mc:AlternateContent xmlns:mc="http://schemas.openxmlformats.org/markup-compatibility/2006">
          <mc:Choice Requires="x14">
            <control shapeId="1345" r:id="rId284" name="Button 321">
              <controlPr defaultSize="0" print="0" autoFill="0" autoPict="0" macro="[0]!Pulsante123B_Click">
                <anchor moveWithCells="1" sizeWithCells="1">
                  <from>
                    <xdr:col>16</xdr:col>
                    <xdr:colOff>28575</xdr:colOff>
                    <xdr:row>123</xdr:row>
                    <xdr:rowOff>19050</xdr:rowOff>
                  </from>
                  <to>
                    <xdr:col>16</xdr:col>
                    <xdr:colOff>447675</xdr:colOff>
                    <xdr:row>123</xdr:row>
                    <xdr:rowOff>266700</xdr:rowOff>
                  </to>
                </anchor>
              </controlPr>
            </control>
          </mc:Choice>
        </mc:AlternateContent>
        <mc:AlternateContent xmlns:mc="http://schemas.openxmlformats.org/markup-compatibility/2006">
          <mc:Choice Requires="x14">
            <control shapeId="1346" r:id="rId285" name="Button 322">
              <controlPr defaultSize="0" print="0" autoFill="0" autoPict="0" macro="[0]!Pulsante124B_Click">
                <anchor moveWithCells="1" sizeWithCells="1">
                  <from>
                    <xdr:col>16</xdr:col>
                    <xdr:colOff>28575</xdr:colOff>
                    <xdr:row>124</xdr:row>
                    <xdr:rowOff>19050</xdr:rowOff>
                  </from>
                  <to>
                    <xdr:col>16</xdr:col>
                    <xdr:colOff>447675</xdr:colOff>
                    <xdr:row>124</xdr:row>
                    <xdr:rowOff>266700</xdr:rowOff>
                  </to>
                </anchor>
              </controlPr>
            </control>
          </mc:Choice>
        </mc:AlternateContent>
        <mc:AlternateContent xmlns:mc="http://schemas.openxmlformats.org/markup-compatibility/2006">
          <mc:Choice Requires="x14">
            <control shapeId="1347" r:id="rId286" name="Button 323">
              <controlPr defaultSize="0" print="0" autoFill="0" autoPict="0" macro="[0]!Pulsante125B_Click">
                <anchor moveWithCells="1" sizeWithCells="1">
                  <from>
                    <xdr:col>16</xdr:col>
                    <xdr:colOff>28575</xdr:colOff>
                    <xdr:row>125</xdr:row>
                    <xdr:rowOff>19050</xdr:rowOff>
                  </from>
                  <to>
                    <xdr:col>16</xdr:col>
                    <xdr:colOff>447675</xdr:colOff>
                    <xdr:row>125</xdr:row>
                    <xdr:rowOff>266700</xdr:rowOff>
                  </to>
                </anchor>
              </controlPr>
            </control>
          </mc:Choice>
        </mc:AlternateContent>
        <mc:AlternateContent xmlns:mc="http://schemas.openxmlformats.org/markup-compatibility/2006">
          <mc:Choice Requires="x14">
            <control shapeId="1348" r:id="rId287" name="Button 324">
              <controlPr defaultSize="0" print="0" autoFill="0" autoPict="0" macro="[0]!Pulsante126B_Click">
                <anchor moveWithCells="1" sizeWithCells="1">
                  <from>
                    <xdr:col>16</xdr:col>
                    <xdr:colOff>28575</xdr:colOff>
                    <xdr:row>126</xdr:row>
                    <xdr:rowOff>19050</xdr:rowOff>
                  </from>
                  <to>
                    <xdr:col>16</xdr:col>
                    <xdr:colOff>447675</xdr:colOff>
                    <xdr:row>126</xdr:row>
                    <xdr:rowOff>266700</xdr:rowOff>
                  </to>
                </anchor>
              </controlPr>
            </control>
          </mc:Choice>
        </mc:AlternateContent>
        <mc:AlternateContent xmlns:mc="http://schemas.openxmlformats.org/markup-compatibility/2006">
          <mc:Choice Requires="x14">
            <control shapeId="1349" r:id="rId288" name="Button 325">
              <controlPr defaultSize="0" print="0" autoFill="0" autoPict="0" macro="[0]!Pulsante127B_Click">
                <anchor moveWithCells="1" sizeWithCells="1">
                  <from>
                    <xdr:col>16</xdr:col>
                    <xdr:colOff>28575</xdr:colOff>
                    <xdr:row>127</xdr:row>
                    <xdr:rowOff>19050</xdr:rowOff>
                  </from>
                  <to>
                    <xdr:col>16</xdr:col>
                    <xdr:colOff>447675</xdr:colOff>
                    <xdr:row>127</xdr:row>
                    <xdr:rowOff>266700</xdr:rowOff>
                  </to>
                </anchor>
              </controlPr>
            </control>
          </mc:Choice>
        </mc:AlternateContent>
        <mc:AlternateContent xmlns:mc="http://schemas.openxmlformats.org/markup-compatibility/2006">
          <mc:Choice Requires="x14">
            <control shapeId="1350" r:id="rId289" name="Button 326">
              <controlPr defaultSize="0" print="0" autoFill="0" autoPict="0" macro="[0]!Pulsante128B_Click">
                <anchor moveWithCells="1" sizeWithCells="1">
                  <from>
                    <xdr:col>16</xdr:col>
                    <xdr:colOff>28575</xdr:colOff>
                    <xdr:row>128</xdr:row>
                    <xdr:rowOff>19050</xdr:rowOff>
                  </from>
                  <to>
                    <xdr:col>16</xdr:col>
                    <xdr:colOff>447675</xdr:colOff>
                    <xdr:row>128</xdr:row>
                    <xdr:rowOff>266700</xdr:rowOff>
                  </to>
                </anchor>
              </controlPr>
            </control>
          </mc:Choice>
        </mc:AlternateContent>
        <mc:AlternateContent xmlns:mc="http://schemas.openxmlformats.org/markup-compatibility/2006">
          <mc:Choice Requires="x14">
            <control shapeId="1351" r:id="rId290" name="Button 327">
              <controlPr defaultSize="0" print="0" autoFill="0" autoPict="0" macro="[0]!Pulsante129B_Click">
                <anchor moveWithCells="1" sizeWithCells="1">
                  <from>
                    <xdr:col>16</xdr:col>
                    <xdr:colOff>28575</xdr:colOff>
                    <xdr:row>129</xdr:row>
                    <xdr:rowOff>19050</xdr:rowOff>
                  </from>
                  <to>
                    <xdr:col>16</xdr:col>
                    <xdr:colOff>447675</xdr:colOff>
                    <xdr:row>129</xdr:row>
                    <xdr:rowOff>266700</xdr:rowOff>
                  </to>
                </anchor>
              </controlPr>
            </control>
          </mc:Choice>
        </mc:AlternateContent>
        <mc:AlternateContent xmlns:mc="http://schemas.openxmlformats.org/markup-compatibility/2006">
          <mc:Choice Requires="x14">
            <control shapeId="1352" r:id="rId291" name="Button 328">
              <controlPr defaultSize="0" print="0" autoFill="0" autoPict="0" macro="[0]!Pulsante130B_Click">
                <anchor moveWithCells="1" sizeWithCells="1">
                  <from>
                    <xdr:col>16</xdr:col>
                    <xdr:colOff>28575</xdr:colOff>
                    <xdr:row>130</xdr:row>
                    <xdr:rowOff>19050</xdr:rowOff>
                  </from>
                  <to>
                    <xdr:col>16</xdr:col>
                    <xdr:colOff>447675</xdr:colOff>
                    <xdr:row>130</xdr:row>
                    <xdr:rowOff>266700</xdr:rowOff>
                  </to>
                </anchor>
              </controlPr>
            </control>
          </mc:Choice>
        </mc:AlternateContent>
        <mc:AlternateContent xmlns:mc="http://schemas.openxmlformats.org/markup-compatibility/2006">
          <mc:Choice Requires="x14">
            <control shapeId="1353" r:id="rId292" name="Button 329">
              <controlPr defaultSize="0" print="0" autoFill="0" autoPict="0" macro="[0]!Pulsante131B_Click">
                <anchor moveWithCells="1" sizeWithCells="1">
                  <from>
                    <xdr:col>16</xdr:col>
                    <xdr:colOff>28575</xdr:colOff>
                    <xdr:row>131</xdr:row>
                    <xdr:rowOff>19050</xdr:rowOff>
                  </from>
                  <to>
                    <xdr:col>16</xdr:col>
                    <xdr:colOff>447675</xdr:colOff>
                    <xdr:row>131</xdr:row>
                    <xdr:rowOff>266700</xdr:rowOff>
                  </to>
                </anchor>
              </controlPr>
            </control>
          </mc:Choice>
        </mc:AlternateContent>
        <mc:AlternateContent xmlns:mc="http://schemas.openxmlformats.org/markup-compatibility/2006">
          <mc:Choice Requires="x14">
            <control shapeId="1354" r:id="rId293" name="Button 330">
              <controlPr defaultSize="0" print="0" autoFill="0" autoPict="0" macro="[0]!Pulsante132B_Click">
                <anchor moveWithCells="1" sizeWithCells="1">
                  <from>
                    <xdr:col>16</xdr:col>
                    <xdr:colOff>28575</xdr:colOff>
                    <xdr:row>132</xdr:row>
                    <xdr:rowOff>19050</xdr:rowOff>
                  </from>
                  <to>
                    <xdr:col>16</xdr:col>
                    <xdr:colOff>447675</xdr:colOff>
                    <xdr:row>132</xdr:row>
                    <xdr:rowOff>266700</xdr:rowOff>
                  </to>
                </anchor>
              </controlPr>
            </control>
          </mc:Choice>
        </mc:AlternateContent>
        <mc:AlternateContent xmlns:mc="http://schemas.openxmlformats.org/markup-compatibility/2006">
          <mc:Choice Requires="x14">
            <control shapeId="1355" r:id="rId294" name="Button 331">
              <controlPr defaultSize="0" print="0" autoFill="0" autoPict="0" macro="[0]!Pulsante133B_Click">
                <anchor moveWithCells="1" sizeWithCells="1">
                  <from>
                    <xdr:col>16</xdr:col>
                    <xdr:colOff>28575</xdr:colOff>
                    <xdr:row>133</xdr:row>
                    <xdr:rowOff>19050</xdr:rowOff>
                  </from>
                  <to>
                    <xdr:col>16</xdr:col>
                    <xdr:colOff>447675</xdr:colOff>
                    <xdr:row>133</xdr:row>
                    <xdr:rowOff>266700</xdr:rowOff>
                  </to>
                </anchor>
              </controlPr>
            </control>
          </mc:Choice>
        </mc:AlternateContent>
        <mc:AlternateContent xmlns:mc="http://schemas.openxmlformats.org/markup-compatibility/2006">
          <mc:Choice Requires="x14">
            <control shapeId="1356" r:id="rId295" name="Button 332">
              <controlPr defaultSize="0" print="0" autoFill="0" autoPict="0" macro="[0]!Pulsante134B_Click">
                <anchor moveWithCells="1" sizeWithCells="1">
                  <from>
                    <xdr:col>16</xdr:col>
                    <xdr:colOff>28575</xdr:colOff>
                    <xdr:row>134</xdr:row>
                    <xdr:rowOff>19050</xdr:rowOff>
                  </from>
                  <to>
                    <xdr:col>16</xdr:col>
                    <xdr:colOff>447675</xdr:colOff>
                    <xdr:row>134</xdr:row>
                    <xdr:rowOff>266700</xdr:rowOff>
                  </to>
                </anchor>
              </controlPr>
            </control>
          </mc:Choice>
        </mc:AlternateContent>
        <mc:AlternateContent xmlns:mc="http://schemas.openxmlformats.org/markup-compatibility/2006">
          <mc:Choice Requires="x14">
            <control shapeId="1357" r:id="rId296" name="Button 333">
              <controlPr defaultSize="0" print="0" autoFill="0" autoPict="0" macro="[0]!Pulsante135B_Click">
                <anchor moveWithCells="1" sizeWithCells="1">
                  <from>
                    <xdr:col>16</xdr:col>
                    <xdr:colOff>28575</xdr:colOff>
                    <xdr:row>135</xdr:row>
                    <xdr:rowOff>19050</xdr:rowOff>
                  </from>
                  <to>
                    <xdr:col>16</xdr:col>
                    <xdr:colOff>447675</xdr:colOff>
                    <xdr:row>135</xdr:row>
                    <xdr:rowOff>266700</xdr:rowOff>
                  </to>
                </anchor>
              </controlPr>
            </control>
          </mc:Choice>
        </mc:AlternateContent>
        <mc:AlternateContent xmlns:mc="http://schemas.openxmlformats.org/markup-compatibility/2006">
          <mc:Choice Requires="x14">
            <control shapeId="1358" r:id="rId297" name="Button 334">
              <controlPr defaultSize="0" print="0" autoFill="0" autoPict="0" macro="[0]!Pulsante136B_Click">
                <anchor moveWithCells="1" sizeWithCells="1">
                  <from>
                    <xdr:col>16</xdr:col>
                    <xdr:colOff>28575</xdr:colOff>
                    <xdr:row>136</xdr:row>
                    <xdr:rowOff>19050</xdr:rowOff>
                  </from>
                  <to>
                    <xdr:col>16</xdr:col>
                    <xdr:colOff>447675</xdr:colOff>
                    <xdr:row>136</xdr:row>
                    <xdr:rowOff>266700</xdr:rowOff>
                  </to>
                </anchor>
              </controlPr>
            </control>
          </mc:Choice>
        </mc:AlternateContent>
        <mc:AlternateContent xmlns:mc="http://schemas.openxmlformats.org/markup-compatibility/2006">
          <mc:Choice Requires="x14">
            <control shapeId="1359" r:id="rId298" name="Button 335">
              <controlPr defaultSize="0" print="0" autoFill="0" autoPict="0" macro="[0]!Pulsante137B_Click">
                <anchor moveWithCells="1" sizeWithCells="1">
                  <from>
                    <xdr:col>16</xdr:col>
                    <xdr:colOff>28575</xdr:colOff>
                    <xdr:row>137</xdr:row>
                    <xdr:rowOff>19050</xdr:rowOff>
                  </from>
                  <to>
                    <xdr:col>16</xdr:col>
                    <xdr:colOff>447675</xdr:colOff>
                    <xdr:row>137</xdr:row>
                    <xdr:rowOff>266700</xdr:rowOff>
                  </to>
                </anchor>
              </controlPr>
            </control>
          </mc:Choice>
        </mc:AlternateContent>
        <mc:AlternateContent xmlns:mc="http://schemas.openxmlformats.org/markup-compatibility/2006">
          <mc:Choice Requires="x14">
            <control shapeId="1360" r:id="rId299" name="Button 336">
              <controlPr defaultSize="0" print="0" autoFill="0" autoPict="0" macro="[0]!Pulsante138B_Click">
                <anchor moveWithCells="1" sizeWithCells="1">
                  <from>
                    <xdr:col>16</xdr:col>
                    <xdr:colOff>28575</xdr:colOff>
                    <xdr:row>138</xdr:row>
                    <xdr:rowOff>19050</xdr:rowOff>
                  </from>
                  <to>
                    <xdr:col>16</xdr:col>
                    <xdr:colOff>447675</xdr:colOff>
                    <xdr:row>138</xdr:row>
                    <xdr:rowOff>266700</xdr:rowOff>
                  </to>
                </anchor>
              </controlPr>
            </control>
          </mc:Choice>
        </mc:AlternateContent>
        <mc:AlternateContent xmlns:mc="http://schemas.openxmlformats.org/markup-compatibility/2006">
          <mc:Choice Requires="x14">
            <control shapeId="1361" r:id="rId300" name="Button 337">
              <controlPr defaultSize="0" print="0" autoFill="0" autoPict="0" macro="[0]!Pulsante139B_Click">
                <anchor moveWithCells="1" sizeWithCells="1">
                  <from>
                    <xdr:col>16</xdr:col>
                    <xdr:colOff>28575</xdr:colOff>
                    <xdr:row>139</xdr:row>
                    <xdr:rowOff>19050</xdr:rowOff>
                  </from>
                  <to>
                    <xdr:col>16</xdr:col>
                    <xdr:colOff>447675</xdr:colOff>
                    <xdr:row>139</xdr:row>
                    <xdr:rowOff>266700</xdr:rowOff>
                  </to>
                </anchor>
              </controlPr>
            </control>
          </mc:Choice>
        </mc:AlternateContent>
        <mc:AlternateContent xmlns:mc="http://schemas.openxmlformats.org/markup-compatibility/2006">
          <mc:Choice Requires="x14">
            <control shapeId="1362" r:id="rId301" name="Button 338">
              <controlPr defaultSize="0" print="0" autoFill="0" autoPict="0" macro="[0]!Pulsante140B_Click">
                <anchor moveWithCells="1" sizeWithCells="1">
                  <from>
                    <xdr:col>16</xdr:col>
                    <xdr:colOff>28575</xdr:colOff>
                    <xdr:row>140</xdr:row>
                    <xdr:rowOff>19050</xdr:rowOff>
                  </from>
                  <to>
                    <xdr:col>16</xdr:col>
                    <xdr:colOff>447675</xdr:colOff>
                    <xdr:row>140</xdr:row>
                    <xdr:rowOff>266700</xdr:rowOff>
                  </to>
                </anchor>
              </controlPr>
            </control>
          </mc:Choice>
        </mc:AlternateContent>
        <mc:AlternateContent xmlns:mc="http://schemas.openxmlformats.org/markup-compatibility/2006">
          <mc:Choice Requires="x14">
            <control shapeId="1363" r:id="rId302" name="Button 339">
              <controlPr defaultSize="0" print="0" autoFill="0" autoPict="0" macro="[0]!Pulsante141B_Click">
                <anchor moveWithCells="1" sizeWithCells="1">
                  <from>
                    <xdr:col>16</xdr:col>
                    <xdr:colOff>28575</xdr:colOff>
                    <xdr:row>141</xdr:row>
                    <xdr:rowOff>19050</xdr:rowOff>
                  </from>
                  <to>
                    <xdr:col>16</xdr:col>
                    <xdr:colOff>447675</xdr:colOff>
                    <xdr:row>141</xdr:row>
                    <xdr:rowOff>266700</xdr:rowOff>
                  </to>
                </anchor>
              </controlPr>
            </control>
          </mc:Choice>
        </mc:AlternateContent>
        <mc:AlternateContent xmlns:mc="http://schemas.openxmlformats.org/markup-compatibility/2006">
          <mc:Choice Requires="x14">
            <control shapeId="1364" r:id="rId303" name="Button 340">
              <controlPr defaultSize="0" print="0" autoFill="0" autoPict="0" macro="[0]!Pulsante142B_Click">
                <anchor moveWithCells="1" sizeWithCells="1">
                  <from>
                    <xdr:col>16</xdr:col>
                    <xdr:colOff>28575</xdr:colOff>
                    <xdr:row>142</xdr:row>
                    <xdr:rowOff>19050</xdr:rowOff>
                  </from>
                  <to>
                    <xdr:col>16</xdr:col>
                    <xdr:colOff>447675</xdr:colOff>
                    <xdr:row>142</xdr:row>
                    <xdr:rowOff>266700</xdr:rowOff>
                  </to>
                </anchor>
              </controlPr>
            </control>
          </mc:Choice>
        </mc:AlternateContent>
        <mc:AlternateContent xmlns:mc="http://schemas.openxmlformats.org/markup-compatibility/2006">
          <mc:Choice Requires="x14">
            <control shapeId="1365" r:id="rId304" name="Button 341">
              <controlPr defaultSize="0" print="0" autoFill="0" autoPict="0" macro="[0]!Pulsante143B_Click">
                <anchor moveWithCells="1" sizeWithCells="1">
                  <from>
                    <xdr:col>16</xdr:col>
                    <xdr:colOff>28575</xdr:colOff>
                    <xdr:row>143</xdr:row>
                    <xdr:rowOff>19050</xdr:rowOff>
                  </from>
                  <to>
                    <xdr:col>16</xdr:col>
                    <xdr:colOff>447675</xdr:colOff>
                    <xdr:row>143</xdr:row>
                    <xdr:rowOff>266700</xdr:rowOff>
                  </to>
                </anchor>
              </controlPr>
            </control>
          </mc:Choice>
        </mc:AlternateContent>
        <mc:AlternateContent xmlns:mc="http://schemas.openxmlformats.org/markup-compatibility/2006">
          <mc:Choice Requires="x14">
            <control shapeId="1366" r:id="rId305" name="Button 342">
              <controlPr defaultSize="0" print="0" autoFill="0" autoPict="0" macro="[0]!Pulsante144B_Click">
                <anchor moveWithCells="1" sizeWithCells="1">
                  <from>
                    <xdr:col>16</xdr:col>
                    <xdr:colOff>28575</xdr:colOff>
                    <xdr:row>144</xdr:row>
                    <xdr:rowOff>19050</xdr:rowOff>
                  </from>
                  <to>
                    <xdr:col>16</xdr:col>
                    <xdr:colOff>447675</xdr:colOff>
                    <xdr:row>144</xdr:row>
                    <xdr:rowOff>266700</xdr:rowOff>
                  </to>
                </anchor>
              </controlPr>
            </control>
          </mc:Choice>
        </mc:AlternateContent>
        <mc:AlternateContent xmlns:mc="http://schemas.openxmlformats.org/markup-compatibility/2006">
          <mc:Choice Requires="x14">
            <control shapeId="1367" r:id="rId306" name="Button 343">
              <controlPr defaultSize="0" print="0" autoFill="0" autoPict="0" macro="[0]!Pulsante145B_Click">
                <anchor moveWithCells="1" sizeWithCells="1">
                  <from>
                    <xdr:col>16</xdr:col>
                    <xdr:colOff>28575</xdr:colOff>
                    <xdr:row>145</xdr:row>
                    <xdr:rowOff>19050</xdr:rowOff>
                  </from>
                  <to>
                    <xdr:col>16</xdr:col>
                    <xdr:colOff>447675</xdr:colOff>
                    <xdr:row>145</xdr:row>
                    <xdr:rowOff>266700</xdr:rowOff>
                  </to>
                </anchor>
              </controlPr>
            </control>
          </mc:Choice>
        </mc:AlternateContent>
        <mc:AlternateContent xmlns:mc="http://schemas.openxmlformats.org/markup-compatibility/2006">
          <mc:Choice Requires="x14">
            <control shapeId="1368" r:id="rId307" name="Button 344">
              <controlPr defaultSize="0" print="0" autoFill="0" autoPict="0" macro="[0]!Pulsante146B_Click">
                <anchor moveWithCells="1" sizeWithCells="1">
                  <from>
                    <xdr:col>16</xdr:col>
                    <xdr:colOff>28575</xdr:colOff>
                    <xdr:row>146</xdr:row>
                    <xdr:rowOff>19050</xdr:rowOff>
                  </from>
                  <to>
                    <xdr:col>16</xdr:col>
                    <xdr:colOff>447675</xdr:colOff>
                    <xdr:row>146</xdr:row>
                    <xdr:rowOff>266700</xdr:rowOff>
                  </to>
                </anchor>
              </controlPr>
            </control>
          </mc:Choice>
        </mc:AlternateContent>
        <mc:AlternateContent xmlns:mc="http://schemas.openxmlformats.org/markup-compatibility/2006">
          <mc:Choice Requires="x14">
            <control shapeId="1369" r:id="rId308" name="Button 345">
              <controlPr defaultSize="0" print="0" autoFill="0" autoPict="0" macro="[0]!Pulsante147B_Click">
                <anchor moveWithCells="1" sizeWithCells="1">
                  <from>
                    <xdr:col>16</xdr:col>
                    <xdr:colOff>28575</xdr:colOff>
                    <xdr:row>147</xdr:row>
                    <xdr:rowOff>19050</xdr:rowOff>
                  </from>
                  <to>
                    <xdr:col>16</xdr:col>
                    <xdr:colOff>447675</xdr:colOff>
                    <xdr:row>147</xdr:row>
                    <xdr:rowOff>266700</xdr:rowOff>
                  </to>
                </anchor>
              </controlPr>
            </control>
          </mc:Choice>
        </mc:AlternateContent>
        <mc:AlternateContent xmlns:mc="http://schemas.openxmlformats.org/markup-compatibility/2006">
          <mc:Choice Requires="x14">
            <control shapeId="1370" r:id="rId309" name="Button 346">
              <controlPr defaultSize="0" print="0" autoFill="0" autoPict="0" macro="[0]!Pulsante148b_Click">
                <anchor moveWithCells="1" sizeWithCells="1">
                  <from>
                    <xdr:col>16</xdr:col>
                    <xdr:colOff>28575</xdr:colOff>
                    <xdr:row>148</xdr:row>
                    <xdr:rowOff>19050</xdr:rowOff>
                  </from>
                  <to>
                    <xdr:col>16</xdr:col>
                    <xdr:colOff>447675</xdr:colOff>
                    <xdr:row>148</xdr:row>
                    <xdr:rowOff>266700</xdr:rowOff>
                  </to>
                </anchor>
              </controlPr>
            </control>
          </mc:Choice>
        </mc:AlternateContent>
        <mc:AlternateContent xmlns:mc="http://schemas.openxmlformats.org/markup-compatibility/2006">
          <mc:Choice Requires="x14">
            <control shapeId="1371" r:id="rId310" name="Button 347">
              <controlPr defaultSize="0" print="0" autoFill="0" autoPict="0" macro="[0]!Pulsante149b_Click">
                <anchor moveWithCells="1" sizeWithCells="1">
                  <from>
                    <xdr:col>16</xdr:col>
                    <xdr:colOff>28575</xdr:colOff>
                    <xdr:row>149</xdr:row>
                    <xdr:rowOff>19050</xdr:rowOff>
                  </from>
                  <to>
                    <xdr:col>16</xdr:col>
                    <xdr:colOff>447675</xdr:colOff>
                    <xdr:row>149</xdr:row>
                    <xdr:rowOff>266700</xdr:rowOff>
                  </to>
                </anchor>
              </controlPr>
            </control>
          </mc:Choice>
        </mc:AlternateContent>
        <mc:AlternateContent xmlns:mc="http://schemas.openxmlformats.org/markup-compatibility/2006">
          <mc:Choice Requires="x14">
            <control shapeId="1372" r:id="rId311" name="Button 348">
              <controlPr defaultSize="0" print="0" autoFill="0" autoPict="0" macro="[0]!Pulsante150b_Click">
                <anchor moveWithCells="1" sizeWithCells="1">
                  <from>
                    <xdr:col>16</xdr:col>
                    <xdr:colOff>28575</xdr:colOff>
                    <xdr:row>150</xdr:row>
                    <xdr:rowOff>19050</xdr:rowOff>
                  </from>
                  <to>
                    <xdr:col>16</xdr:col>
                    <xdr:colOff>447675</xdr:colOff>
                    <xdr:row>150</xdr:row>
                    <xdr:rowOff>266700</xdr:rowOff>
                  </to>
                </anchor>
              </controlPr>
            </control>
          </mc:Choice>
        </mc:AlternateContent>
        <mc:AlternateContent xmlns:mc="http://schemas.openxmlformats.org/markup-compatibility/2006">
          <mc:Choice Requires="x14">
            <control shapeId="1373" r:id="rId312" name="Button 349">
              <controlPr defaultSize="0" print="0" autoFill="0" autoPict="0" macro="[0]!Pulsante151b_Click">
                <anchor moveWithCells="1" sizeWithCells="1">
                  <from>
                    <xdr:col>16</xdr:col>
                    <xdr:colOff>28575</xdr:colOff>
                    <xdr:row>151</xdr:row>
                    <xdr:rowOff>19050</xdr:rowOff>
                  </from>
                  <to>
                    <xdr:col>16</xdr:col>
                    <xdr:colOff>447675</xdr:colOff>
                    <xdr:row>151</xdr:row>
                    <xdr:rowOff>266700</xdr:rowOff>
                  </to>
                </anchor>
              </controlPr>
            </control>
          </mc:Choice>
        </mc:AlternateContent>
        <mc:AlternateContent xmlns:mc="http://schemas.openxmlformats.org/markup-compatibility/2006">
          <mc:Choice Requires="x14">
            <control shapeId="1374" r:id="rId313" name="Button 350">
              <controlPr defaultSize="0" print="0" autoFill="0" autoPict="0" macro="[0]!Pulsante152B_Click">
                <anchor moveWithCells="1" sizeWithCells="1">
                  <from>
                    <xdr:col>16</xdr:col>
                    <xdr:colOff>28575</xdr:colOff>
                    <xdr:row>152</xdr:row>
                    <xdr:rowOff>19050</xdr:rowOff>
                  </from>
                  <to>
                    <xdr:col>16</xdr:col>
                    <xdr:colOff>447675</xdr:colOff>
                    <xdr:row>152</xdr:row>
                    <xdr:rowOff>266700</xdr:rowOff>
                  </to>
                </anchor>
              </controlPr>
            </control>
          </mc:Choice>
        </mc:AlternateContent>
        <mc:AlternateContent xmlns:mc="http://schemas.openxmlformats.org/markup-compatibility/2006">
          <mc:Choice Requires="x14">
            <control shapeId="1375" r:id="rId314" name="Button 351">
              <controlPr defaultSize="0" print="0" autoFill="0" autoPict="0" macro="[0]!Pulsante153B_Click">
                <anchor moveWithCells="1" sizeWithCells="1">
                  <from>
                    <xdr:col>16</xdr:col>
                    <xdr:colOff>28575</xdr:colOff>
                    <xdr:row>153</xdr:row>
                    <xdr:rowOff>19050</xdr:rowOff>
                  </from>
                  <to>
                    <xdr:col>16</xdr:col>
                    <xdr:colOff>447675</xdr:colOff>
                    <xdr:row>153</xdr:row>
                    <xdr:rowOff>266700</xdr:rowOff>
                  </to>
                </anchor>
              </controlPr>
            </control>
          </mc:Choice>
        </mc:AlternateContent>
        <mc:AlternateContent xmlns:mc="http://schemas.openxmlformats.org/markup-compatibility/2006">
          <mc:Choice Requires="x14">
            <control shapeId="1376" r:id="rId315" name="Button 352">
              <controlPr defaultSize="0" print="0" autoFill="0" autoPict="0" macro="[0]!Pulsante154B_Click">
                <anchor moveWithCells="1" sizeWithCells="1">
                  <from>
                    <xdr:col>16</xdr:col>
                    <xdr:colOff>28575</xdr:colOff>
                    <xdr:row>154</xdr:row>
                    <xdr:rowOff>19050</xdr:rowOff>
                  </from>
                  <to>
                    <xdr:col>16</xdr:col>
                    <xdr:colOff>447675</xdr:colOff>
                    <xdr:row>154</xdr:row>
                    <xdr:rowOff>266700</xdr:rowOff>
                  </to>
                </anchor>
              </controlPr>
            </control>
          </mc:Choice>
        </mc:AlternateContent>
        <mc:AlternateContent xmlns:mc="http://schemas.openxmlformats.org/markup-compatibility/2006">
          <mc:Choice Requires="x14">
            <control shapeId="1377" r:id="rId316" name="Button 353">
              <controlPr defaultSize="0" print="0" autoFill="0" autoPict="0" macro="[0]!Pulsante155B_Click">
                <anchor moveWithCells="1" sizeWithCells="1">
                  <from>
                    <xdr:col>16</xdr:col>
                    <xdr:colOff>28575</xdr:colOff>
                    <xdr:row>155</xdr:row>
                    <xdr:rowOff>19050</xdr:rowOff>
                  </from>
                  <to>
                    <xdr:col>16</xdr:col>
                    <xdr:colOff>447675</xdr:colOff>
                    <xdr:row>155</xdr:row>
                    <xdr:rowOff>266700</xdr:rowOff>
                  </to>
                </anchor>
              </controlPr>
            </control>
          </mc:Choice>
        </mc:AlternateContent>
        <mc:AlternateContent xmlns:mc="http://schemas.openxmlformats.org/markup-compatibility/2006">
          <mc:Choice Requires="x14">
            <control shapeId="1378" r:id="rId317" name="Button 354">
              <controlPr defaultSize="0" print="0" autoFill="0" autoPict="0" macro="[0]!Pulsante156B_Click">
                <anchor moveWithCells="1" sizeWithCells="1">
                  <from>
                    <xdr:col>16</xdr:col>
                    <xdr:colOff>28575</xdr:colOff>
                    <xdr:row>156</xdr:row>
                    <xdr:rowOff>19050</xdr:rowOff>
                  </from>
                  <to>
                    <xdr:col>16</xdr:col>
                    <xdr:colOff>447675</xdr:colOff>
                    <xdr:row>156</xdr:row>
                    <xdr:rowOff>266700</xdr:rowOff>
                  </to>
                </anchor>
              </controlPr>
            </control>
          </mc:Choice>
        </mc:AlternateContent>
        <mc:AlternateContent xmlns:mc="http://schemas.openxmlformats.org/markup-compatibility/2006">
          <mc:Choice Requires="x14">
            <control shapeId="1379" r:id="rId318" name="Button 355">
              <controlPr defaultSize="0" print="0" autoFill="0" autoPict="0" macro="[0]!Pulsante157B_Click">
                <anchor moveWithCells="1" sizeWithCells="1">
                  <from>
                    <xdr:col>16</xdr:col>
                    <xdr:colOff>28575</xdr:colOff>
                    <xdr:row>157</xdr:row>
                    <xdr:rowOff>19050</xdr:rowOff>
                  </from>
                  <to>
                    <xdr:col>16</xdr:col>
                    <xdr:colOff>447675</xdr:colOff>
                    <xdr:row>157</xdr:row>
                    <xdr:rowOff>266700</xdr:rowOff>
                  </to>
                </anchor>
              </controlPr>
            </control>
          </mc:Choice>
        </mc:AlternateContent>
        <mc:AlternateContent xmlns:mc="http://schemas.openxmlformats.org/markup-compatibility/2006">
          <mc:Choice Requires="x14">
            <control shapeId="1380" r:id="rId319" name="Button 356">
              <controlPr defaultSize="0" print="0" autoFill="0" autoPict="0" macro="[0]!Pulsante158B_Click">
                <anchor moveWithCells="1" sizeWithCells="1">
                  <from>
                    <xdr:col>16</xdr:col>
                    <xdr:colOff>28575</xdr:colOff>
                    <xdr:row>158</xdr:row>
                    <xdr:rowOff>19050</xdr:rowOff>
                  </from>
                  <to>
                    <xdr:col>16</xdr:col>
                    <xdr:colOff>447675</xdr:colOff>
                    <xdr:row>158</xdr:row>
                    <xdr:rowOff>266700</xdr:rowOff>
                  </to>
                </anchor>
              </controlPr>
            </control>
          </mc:Choice>
        </mc:AlternateContent>
        <mc:AlternateContent xmlns:mc="http://schemas.openxmlformats.org/markup-compatibility/2006">
          <mc:Choice Requires="x14">
            <control shapeId="1381" r:id="rId320" name="Button 357">
              <controlPr defaultSize="0" print="0" autoFill="0" autoPict="0" macro="[0]!Pulsante159B_Click">
                <anchor moveWithCells="1" sizeWithCells="1">
                  <from>
                    <xdr:col>16</xdr:col>
                    <xdr:colOff>28575</xdr:colOff>
                    <xdr:row>159</xdr:row>
                    <xdr:rowOff>19050</xdr:rowOff>
                  </from>
                  <to>
                    <xdr:col>16</xdr:col>
                    <xdr:colOff>447675</xdr:colOff>
                    <xdr:row>159</xdr:row>
                    <xdr:rowOff>266700</xdr:rowOff>
                  </to>
                </anchor>
              </controlPr>
            </control>
          </mc:Choice>
        </mc:AlternateContent>
        <mc:AlternateContent xmlns:mc="http://schemas.openxmlformats.org/markup-compatibility/2006">
          <mc:Choice Requires="x14">
            <control shapeId="1382" r:id="rId321" name="Button 358">
              <controlPr defaultSize="0" print="0" autoFill="0" autoPict="0" macro="[0]!Pulsante160B_Click">
                <anchor moveWithCells="1" sizeWithCells="1">
                  <from>
                    <xdr:col>16</xdr:col>
                    <xdr:colOff>28575</xdr:colOff>
                    <xdr:row>160</xdr:row>
                    <xdr:rowOff>19050</xdr:rowOff>
                  </from>
                  <to>
                    <xdr:col>16</xdr:col>
                    <xdr:colOff>447675</xdr:colOff>
                    <xdr:row>160</xdr:row>
                    <xdr:rowOff>266700</xdr:rowOff>
                  </to>
                </anchor>
              </controlPr>
            </control>
          </mc:Choice>
        </mc:AlternateContent>
        <mc:AlternateContent xmlns:mc="http://schemas.openxmlformats.org/markup-compatibility/2006">
          <mc:Choice Requires="x14">
            <control shapeId="1383" r:id="rId322" name="Button 359">
              <controlPr defaultSize="0" print="0" autoFill="0" autoPict="0" macro="[0]!Pulsante26B_Click">
                <anchor moveWithCells="1">
                  <from>
                    <xdr:col>16</xdr:col>
                    <xdr:colOff>38100</xdr:colOff>
                    <xdr:row>26</xdr:row>
                    <xdr:rowOff>28575</xdr:rowOff>
                  </from>
                  <to>
                    <xdr:col>16</xdr:col>
                    <xdr:colOff>466725</xdr:colOff>
                    <xdr:row>26</xdr:row>
                    <xdr:rowOff>266700</xdr:rowOff>
                  </to>
                </anchor>
              </controlPr>
            </control>
          </mc:Choice>
        </mc:AlternateContent>
        <mc:AlternateContent xmlns:mc="http://schemas.openxmlformats.org/markup-compatibility/2006">
          <mc:Choice Requires="x14">
            <control shapeId="1384" r:id="rId323" name="Button 360">
              <controlPr defaultSize="0" print="0" autoFill="0" autoPict="0" macro="[0]!Pulsante51B_Click">
                <anchor moveWithCells="1" sizeWithCells="1">
                  <from>
                    <xdr:col>16</xdr:col>
                    <xdr:colOff>28575</xdr:colOff>
                    <xdr:row>51</xdr:row>
                    <xdr:rowOff>28575</xdr:rowOff>
                  </from>
                  <to>
                    <xdr:col>16</xdr:col>
                    <xdr:colOff>447675</xdr:colOff>
                    <xdr:row>51</xdr:row>
                    <xdr:rowOff>266700</xdr:rowOff>
                  </to>
                </anchor>
              </controlPr>
            </control>
          </mc:Choice>
        </mc:AlternateContent>
        <mc:AlternateContent xmlns:mc="http://schemas.openxmlformats.org/markup-compatibility/2006">
          <mc:Choice Requires="x14">
            <control shapeId="1385" r:id="rId324" name="Button 361">
              <controlPr defaultSize="0" print="0" autoFill="0" autoPict="0" macro="[0]!Pulsante50B_Click">
                <anchor moveWithCells="1" sizeWithCells="1">
                  <from>
                    <xdr:col>16</xdr:col>
                    <xdr:colOff>19050</xdr:colOff>
                    <xdr:row>50</xdr:row>
                    <xdr:rowOff>19050</xdr:rowOff>
                  </from>
                  <to>
                    <xdr:col>16</xdr:col>
                    <xdr:colOff>457200</xdr:colOff>
                    <xdr:row>50</xdr:row>
                    <xdr:rowOff>266700</xdr:rowOff>
                  </to>
                </anchor>
              </controlPr>
            </control>
          </mc:Choice>
        </mc:AlternateContent>
        <mc:AlternateContent xmlns:mc="http://schemas.openxmlformats.org/markup-compatibility/2006">
          <mc:Choice Requires="x14">
            <control shapeId="1386" r:id="rId325" name="Button 362">
              <controlPr defaultSize="0" print="0" autoFill="0" autoPict="0" macro="[0]!Pulsante52B_Click">
                <anchor moveWithCells="1" sizeWithCells="1">
                  <from>
                    <xdr:col>16</xdr:col>
                    <xdr:colOff>9525</xdr:colOff>
                    <xdr:row>52</xdr:row>
                    <xdr:rowOff>19050</xdr:rowOff>
                  </from>
                  <to>
                    <xdr:col>16</xdr:col>
                    <xdr:colOff>447675</xdr:colOff>
                    <xdr:row>52</xdr:row>
                    <xdr:rowOff>266700</xdr:rowOff>
                  </to>
                </anchor>
              </controlPr>
            </control>
          </mc:Choice>
        </mc:AlternateContent>
        <mc:AlternateContent xmlns:mc="http://schemas.openxmlformats.org/markup-compatibility/2006">
          <mc:Choice Requires="x14">
            <control shapeId="1387" r:id="rId326" name="Button 363">
              <controlPr defaultSize="0" print="0" autoFill="0" autoPict="0" macro="[0]!Pulsante74B_Click">
                <anchor moveWithCells="1" sizeWithCells="1">
                  <from>
                    <xdr:col>16</xdr:col>
                    <xdr:colOff>28575</xdr:colOff>
                    <xdr:row>74</xdr:row>
                    <xdr:rowOff>19050</xdr:rowOff>
                  </from>
                  <to>
                    <xdr:col>16</xdr:col>
                    <xdr:colOff>447675</xdr:colOff>
                    <xdr:row>74</xdr:row>
                    <xdr:rowOff>276225</xdr:rowOff>
                  </to>
                </anchor>
              </controlPr>
            </control>
          </mc:Choice>
        </mc:AlternateContent>
        <mc:AlternateContent xmlns:mc="http://schemas.openxmlformats.org/markup-compatibility/2006">
          <mc:Choice Requires="x14">
            <control shapeId="1711" r:id="rId327" name="Button 687">
              <controlPr defaultSize="0" print="0" autoFill="0" autoPict="0" macro="[0]!Pulsante_CANC_2_Click">
                <anchor moveWithCells="1" sizeWithCells="1">
                  <from>
                    <xdr:col>6</xdr:col>
                    <xdr:colOff>19050</xdr:colOff>
                    <xdr:row>2</xdr:row>
                    <xdr:rowOff>38100</xdr:rowOff>
                  </from>
                  <to>
                    <xdr:col>6</xdr:col>
                    <xdr:colOff>457200</xdr:colOff>
                    <xdr:row>2</xdr:row>
                    <xdr:rowOff>285750</xdr:rowOff>
                  </to>
                </anchor>
              </controlPr>
            </control>
          </mc:Choice>
        </mc:AlternateContent>
        <mc:AlternateContent xmlns:mc="http://schemas.openxmlformats.org/markup-compatibility/2006">
          <mc:Choice Requires="x14">
            <control shapeId="1712" r:id="rId328" name="Button 688">
              <controlPr defaultSize="0" print="0" autoFill="0" autoPict="0" macro="[0]!Pulsante_CANC_3_Click">
                <anchor moveWithCells="1" sizeWithCells="1">
                  <from>
                    <xdr:col>6</xdr:col>
                    <xdr:colOff>28575</xdr:colOff>
                    <xdr:row>3</xdr:row>
                    <xdr:rowOff>28575</xdr:rowOff>
                  </from>
                  <to>
                    <xdr:col>6</xdr:col>
                    <xdr:colOff>457200</xdr:colOff>
                    <xdr:row>3</xdr:row>
                    <xdr:rowOff>276225</xdr:rowOff>
                  </to>
                </anchor>
              </controlPr>
            </control>
          </mc:Choice>
        </mc:AlternateContent>
        <mc:AlternateContent xmlns:mc="http://schemas.openxmlformats.org/markup-compatibility/2006">
          <mc:Choice Requires="x14">
            <control shapeId="1713" r:id="rId329" name="Button 689">
              <controlPr defaultSize="0" print="0" autoFill="0" autoPict="0" macro="[0]!Pulsante_CANC_4_Click">
                <anchor moveWithCells="1" sizeWithCells="1">
                  <from>
                    <xdr:col>6</xdr:col>
                    <xdr:colOff>28575</xdr:colOff>
                    <xdr:row>4</xdr:row>
                    <xdr:rowOff>28575</xdr:rowOff>
                  </from>
                  <to>
                    <xdr:col>6</xdr:col>
                    <xdr:colOff>447675</xdr:colOff>
                    <xdr:row>4</xdr:row>
                    <xdr:rowOff>266700</xdr:rowOff>
                  </to>
                </anchor>
              </controlPr>
            </control>
          </mc:Choice>
        </mc:AlternateContent>
        <mc:AlternateContent xmlns:mc="http://schemas.openxmlformats.org/markup-compatibility/2006">
          <mc:Choice Requires="x14">
            <control shapeId="1714" r:id="rId330" name="Button 690">
              <controlPr defaultSize="0" print="0" autoFill="0" autoPict="0" macro="[0]!Pulsante_CANC_5_Click">
                <anchor moveWithCells="1" sizeWithCells="1">
                  <from>
                    <xdr:col>6</xdr:col>
                    <xdr:colOff>28575</xdr:colOff>
                    <xdr:row>5</xdr:row>
                    <xdr:rowOff>28575</xdr:rowOff>
                  </from>
                  <to>
                    <xdr:col>6</xdr:col>
                    <xdr:colOff>447675</xdr:colOff>
                    <xdr:row>5</xdr:row>
                    <xdr:rowOff>266700</xdr:rowOff>
                  </to>
                </anchor>
              </controlPr>
            </control>
          </mc:Choice>
        </mc:AlternateContent>
        <mc:AlternateContent xmlns:mc="http://schemas.openxmlformats.org/markup-compatibility/2006">
          <mc:Choice Requires="x14">
            <control shapeId="1715" r:id="rId331" name="Button 691">
              <controlPr defaultSize="0" print="0" autoFill="0" autoPict="0" macro="[0]!Pulsante_CANC_6_Click">
                <anchor moveWithCells="1" sizeWithCells="1">
                  <from>
                    <xdr:col>6</xdr:col>
                    <xdr:colOff>28575</xdr:colOff>
                    <xdr:row>6</xdr:row>
                    <xdr:rowOff>38100</xdr:rowOff>
                  </from>
                  <to>
                    <xdr:col>6</xdr:col>
                    <xdr:colOff>447675</xdr:colOff>
                    <xdr:row>6</xdr:row>
                    <xdr:rowOff>266700</xdr:rowOff>
                  </to>
                </anchor>
              </controlPr>
            </control>
          </mc:Choice>
        </mc:AlternateContent>
        <mc:AlternateContent xmlns:mc="http://schemas.openxmlformats.org/markup-compatibility/2006">
          <mc:Choice Requires="x14">
            <control shapeId="1716" r:id="rId332" name="Button 692">
              <controlPr defaultSize="0" print="0" autoFill="0" autoPict="0" macro="[0]!Pulsante_CANC_7_Click">
                <anchor moveWithCells="1" sizeWithCells="1">
                  <from>
                    <xdr:col>6</xdr:col>
                    <xdr:colOff>28575</xdr:colOff>
                    <xdr:row>7</xdr:row>
                    <xdr:rowOff>19050</xdr:rowOff>
                  </from>
                  <to>
                    <xdr:col>6</xdr:col>
                    <xdr:colOff>447675</xdr:colOff>
                    <xdr:row>7</xdr:row>
                    <xdr:rowOff>266700</xdr:rowOff>
                  </to>
                </anchor>
              </controlPr>
            </control>
          </mc:Choice>
        </mc:AlternateContent>
        <mc:AlternateContent xmlns:mc="http://schemas.openxmlformats.org/markup-compatibility/2006">
          <mc:Choice Requires="x14">
            <control shapeId="1717" r:id="rId333" name="Button 693">
              <controlPr defaultSize="0" print="0" autoFill="0" autoPict="0" macro="[0]!Pulsante_CANC_8_Click">
                <anchor moveWithCells="1" sizeWithCells="1">
                  <from>
                    <xdr:col>6</xdr:col>
                    <xdr:colOff>28575</xdr:colOff>
                    <xdr:row>8</xdr:row>
                    <xdr:rowOff>19050</xdr:rowOff>
                  </from>
                  <to>
                    <xdr:col>6</xdr:col>
                    <xdr:colOff>447675</xdr:colOff>
                    <xdr:row>8</xdr:row>
                    <xdr:rowOff>266700</xdr:rowOff>
                  </to>
                </anchor>
              </controlPr>
            </control>
          </mc:Choice>
        </mc:AlternateContent>
        <mc:AlternateContent xmlns:mc="http://schemas.openxmlformats.org/markup-compatibility/2006">
          <mc:Choice Requires="x14">
            <control shapeId="1718" r:id="rId334" name="Button 694">
              <controlPr defaultSize="0" print="0" autoFill="0" autoPict="0" macro="[0]!Pulsante30_Click">
                <anchor moveWithCells="1" sizeWithCells="1">
                  <from>
                    <xdr:col>6</xdr:col>
                    <xdr:colOff>28575</xdr:colOff>
                    <xdr:row>9</xdr:row>
                    <xdr:rowOff>19050</xdr:rowOff>
                  </from>
                  <to>
                    <xdr:col>6</xdr:col>
                    <xdr:colOff>447675</xdr:colOff>
                    <xdr:row>9</xdr:row>
                    <xdr:rowOff>266700</xdr:rowOff>
                  </to>
                </anchor>
              </controlPr>
            </control>
          </mc:Choice>
        </mc:AlternateContent>
        <mc:AlternateContent xmlns:mc="http://schemas.openxmlformats.org/markup-compatibility/2006">
          <mc:Choice Requires="x14">
            <control shapeId="1719" r:id="rId335" name="Button 695">
              <controlPr defaultSize="0" print="0" autoFill="0" autoPict="0" macro="[0]!Pulsante_CANC_9_Click">
                <anchor moveWithCells="1" sizeWithCells="1">
                  <from>
                    <xdr:col>6</xdr:col>
                    <xdr:colOff>28575</xdr:colOff>
                    <xdr:row>9</xdr:row>
                    <xdr:rowOff>19050</xdr:rowOff>
                  </from>
                  <to>
                    <xdr:col>6</xdr:col>
                    <xdr:colOff>447675</xdr:colOff>
                    <xdr:row>9</xdr:row>
                    <xdr:rowOff>266700</xdr:rowOff>
                  </to>
                </anchor>
              </controlPr>
            </control>
          </mc:Choice>
        </mc:AlternateContent>
        <mc:AlternateContent xmlns:mc="http://schemas.openxmlformats.org/markup-compatibility/2006">
          <mc:Choice Requires="x14">
            <control shapeId="1720" r:id="rId336" name="Button 696">
              <controlPr defaultSize="0" print="0" autoFill="0" autoPict="0" macro="[0]!Pulsante_CANC_10_Click">
                <anchor moveWithCells="1" sizeWithCells="1">
                  <from>
                    <xdr:col>6</xdr:col>
                    <xdr:colOff>28575</xdr:colOff>
                    <xdr:row>10</xdr:row>
                    <xdr:rowOff>19050</xdr:rowOff>
                  </from>
                  <to>
                    <xdr:col>6</xdr:col>
                    <xdr:colOff>447675</xdr:colOff>
                    <xdr:row>10</xdr:row>
                    <xdr:rowOff>266700</xdr:rowOff>
                  </to>
                </anchor>
              </controlPr>
            </control>
          </mc:Choice>
        </mc:AlternateContent>
        <mc:AlternateContent xmlns:mc="http://schemas.openxmlformats.org/markup-compatibility/2006">
          <mc:Choice Requires="x14">
            <control shapeId="1721" r:id="rId337" name="Button 697">
              <controlPr defaultSize="0" print="0" autoFill="0" autoPict="0" macro="[0]!Pulsante_CANC_11_Click">
                <anchor moveWithCells="1" sizeWithCells="1">
                  <from>
                    <xdr:col>6</xdr:col>
                    <xdr:colOff>28575</xdr:colOff>
                    <xdr:row>11</xdr:row>
                    <xdr:rowOff>19050</xdr:rowOff>
                  </from>
                  <to>
                    <xdr:col>6</xdr:col>
                    <xdr:colOff>447675</xdr:colOff>
                    <xdr:row>11</xdr:row>
                    <xdr:rowOff>266700</xdr:rowOff>
                  </to>
                </anchor>
              </controlPr>
            </control>
          </mc:Choice>
        </mc:AlternateContent>
        <mc:AlternateContent xmlns:mc="http://schemas.openxmlformats.org/markup-compatibility/2006">
          <mc:Choice Requires="x14">
            <control shapeId="1722" r:id="rId338" name="Button 698">
              <controlPr defaultSize="0" print="0" autoFill="0" autoPict="0" macro="[0]!Pulsante_CANC_12_Click">
                <anchor moveWithCells="1" sizeWithCells="1">
                  <from>
                    <xdr:col>6</xdr:col>
                    <xdr:colOff>28575</xdr:colOff>
                    <xdr:row>12</xdr:row>
                    <xdr:rowOff>19050</xdr:rowOff>
                  </from>
                  <to>
                    <xdr:col>6</xdr:col>
                    <xdr:colOff>447675</xdr:colOff>
                    <xdr:row>12</xdr:row>
                    <xdr:rowOff>266700</xdr:rowOff>
                  </to>
                </anchor>
              </controlPr>
            </control>
          </mc:Choice>
        </mc:AlternateContent>
        <mc:AlternateContent xmlns:mc="http://schemas.openxmlformats.org/markup-compatibility/2006">
          <mc:Choice Requires="x14">
            <control shapeId="1723" r:id="rId339" name="Button 699">
              <controlPr defaultSize="0" print="0" autoFill="0" autoPict="0" macro="[0]!Pulsante_CANC_13_Click">
                <anchor moveWithCells="1" sizeWithCells="1">
                  <from>
                    <xdr:col>6</xdr:col>
                    <xdr:colOff>28575</xdr:colOff>
                    <xdr:row>13</xdr:row>
                    <xdr:rowOff>19050</xdr:rowOff>
                  </from>
                  <to>
                    <xdr:col>6</xdr:col>
                    <xdr:colOff>447675</xdr:colOff>
                    <xdr:row>13</xdr:row>
                    <xdr:rowOff>266700</xdr:rowOff>
                  </to>
                </anchor>
              </controlPr>
            </control>
          </mc:Choice>
        </mc:AlternateContent>
        <mc:AlternateContent xmlns:mc="http://schemas.openxmlformats.org/markup-compatibility/2006">
          <mc:Choice Requires="x14">
            <control shapeId="1724" r:id="rId340" name="Button 700">
              <controlPr defaultSize="0" print="0" autoFill="0" autoPict="0" macro="[0]!Pulsante_CANC_14_Click">
                <anchor moveWithCells="1" sizeWithCells="1">
                  <from>
                    <xdr:col>6</xdr:col>
                    <xdr:colOff>28575</xdr:colOff>
                    <xdr:row>14</xdr:row>
                    <xdr:rowOff>19050</xdr:rowOff>
                  </from>
                  <to>
                    <xdr:col>6</xdr:col>
                    <xdr:colOff>447675</xdr:colOff>
                    <xdr:row>14</xdr:row>
                    <xdr:rowOff>266700</xdr:rowOff>
                  </to>
                </anchor>
              </controlPr>
            </control>
          </mc:Choice>
        </mc:AlternateContent>
        <mc:AlternateContent xmlns:mc="http://schemas.openxmlformats.org/markup-compatibility/2006">
          <mc:Choice Requires="x14">
            <control shapeId="1725" r:id="rId341" name="Button 701">
              <controlPr defaultSize="0" print="0" autoFill="0" autoPict="0" macro="[0]!Pulsante_CANC_15_Click">
                <anchor moveWithCells="1" sizeWithCells="1">
                  <from>
                    <xdr:col>6</xdr:col>
                    <xdr:colOff>28575</xdr:colOff>
                    <xdr:row>15</xdr:row>
                    <xdr:rowOff>19050</xdr:rowOff>
                  </from>
                  <to>
                    <xdr:col>6</xdr:col>
                    <xdr:colOff>447675</xdr:colOff>
                    <xdr:row>15</xdr:row>
                    <xdr:rowOff>266700</xdr:rowOff>
                  </to>
                </anchor>
              </controlPr>
            </control>
          </mc:Choice>
        </mc:AlternateContent>
        <mc:AlternateContent xmlns:mc="http://schemas.openxmlformats.org/markup-compatibility/2006">
          <mc:Choice Requires="x14">
            <control shapeId="1726" r:id="rId342" name="Button 702">
              <controlPr defaultSize="0" print="0" autoFill="0" autoPict="0" macro="[0]!Pulsante_CANC_16_Click">
                <anchor moveWithCells="1" sizeWithCells="1">
                  <from>
                    <xdr:col>6</xdr:col>
                    <xdr:colOff>28575</xdr:colOff>
                    <xdr:row>16</xdr:row>
                    <xdr:rowOff>19050</xdr:rowOff>
                  </from>
                  <to>
                    <xdr:col>6</xdr:col>
                    <xdr:colOff>447675</xdr:colOff>
                    <xdr:row>16</xdr:row>
                    <xdr:rowOff>266700</xdr:rowOff>
                  </to>
                </anchor>
              </controlPr>
            </control>
          </mc:Choice>
        </mc:AlternateContent>
        <mc:AlternateContent xmlns:mc="http://schemas.openxmlformats.org/markup-compatibility/2006">
          <mc:Choice Requires="x14">
            <control shapeId="1727" r:id="rId343" name="Button 703">
              <controlPr defaultSize="0" print="0" autoFill="0" autoPict="0" macro="[0]!Pulsante_CANC_17_Click">
                <anchor moveWithCells="1" sizeWithCells="1">
                  <from>
                    <xdr:col>6</xdr:col>
                    <xdr:colOff>28575</xdr:colOff>
                    <xdr:row>17</xdr:row>
                    <xdr:rowOff>19050</xdr:rowOff>
                  </from>
                  <to>
                    <xdr:col>6</xdr:col>
                    <xdr:colOff>447675</xdr:colOff>
                    <xdr:row>17</xdr:row>
                    <xdr:rowOff>266700</xdr:rowOff>
                  </to>
                </anchor>
              </controlPr>
            </control>
          </mc:Choice>
        </mc:AlternateContent>
        <mc:AlternateContent xmlns:mc="http://schemas.openxmlformats.org/markup-compatibility/2006">
          <mc:Choice Requires="x14">
            <control shapeId="1728" r:id="rId344" name="Button 704">
              <controlPr defaultSize="0" print="0" autoFill="0" autoPict="0" macro="[0]!Pulsante_CANC_18_Click">
                <anchor moveWithCells="1" sizeWithCells="1">
                  <from>
                    <xdr:col>6</xdr:col>
                    <xdr:colOff>28575</xdr:colOff>
                    <xdr:row>18</xdr:row>
                    <xdr:rowOff>19050</xdr:rowOff>
                  </from>
                  <to>
                    <xdr:col>6</xdr:col>
                    <xdr:colOff>447675</xdr:colOff>
                    <xdr:row>18</xdr:row>
                    <xdr:rowOff>266700</xdr:rowOff>
                  </to>
                </anchor>
              </controlPr>
            </control>
          </mc:Choice>
        </mc:AlternateContent>
        <mc:AlternateContent xmlns:mc="http://schemas.openxmlformats.org/markup-compatibility/2006">
          <mc:Choice Requires="x14">
            <control shapeId="1729" r:id="rId345" name="Button 705">
              <controlPr defaultSize="0" print="0" autoFill="0" autoPict="0" macro="[0]!Pulsante_CANC_19_Click">
                <anchor moveWithCells="1" sizeWithCells="1">
                  <from>
                    <xdr:col>6</xdr:col>
                    <xdr:colOff>28575</xdr:colOff>
                    <xdr:row>19</xdr:row>
                    <xdr:rowOff>19050</xdr:rowOff>
                  </from>
                  <to>
                    <xdr:col>6</xdr:col>
                    <xdr:colOff>447675</xdr:colOff>
                    <xdr:row>19</xdr:row>
                    <xdr:rowOff>266700</xdr:rowOff>
                  </to>
                </anchor>
              </controlPr>
            </control>
          </mc:Choice>
        </mc:AlternateContent>
        <mc:AlternateContent xmlns:mc="http://schemas.openxmlformats.org/markup-compatibility/2006">
          <mc:Choice Requires="x14">
            <control shapeId="1730" r:id="rId346" name="Button 706">
              <controlPr defaultSize="0" print="0" autoFill="0" autoPict="0" macro="[0]!Pulsante_CANC_20_Click">
                <anchor moveWithCells="1" sizeWithCells="1">
                  <from>
                    <xdr:col>6</xdr:col>
                    <xdr:colOff>28575</xdr:colOff>
                    <xdr:row>20</xdr:row>
                    <xdr:rowOff>19050</xdr:rowOff>
                  </from>
                  <to>
                    <xdr:col>6</xdr:col>
                    <xdr:colOff>447675</xdr:colOff>
                    <xdr:row>20</xdr:row>
                    <xdr:rowOff>266700</xdr:rowOff>
                  </to>
                </anchor>
              </controlPr>
            </control>
          </mc:Choice>
        </mc:AlternateContent>
        <mc:AlternateContent xmlns:mc="http://schemas.openxmlformats.org/markup-compatibility/2006">
          <mc:Choice Requires="x14">
            <control shapeId="1731" r:id="rId347" name="Button 707">
              <controlPr defaultSize="0" print="0" autoFill="0" autoPict="0" macro="[0]!Pulsante_CANC_21_Click">
                <anchor moveWithCells="1" sizeWithCells="1">
                  <from>
                    <xdr:col>6</xdr:col>
                    <xdr:colOff>28575</xdr:colOff>
                    <xdr:row>21</xdr:row>
                    <xdr:rowOff>19050</xdr:rowOff>
                  </from>
                  <to>
                    <xdr:col>6</xdr:col>
                    <xdr:colOff>447675</xdr:colOff>
                    <xdr:row>21</xdr:row>
                    <xdr:rowOff>266700</xdr:rowOff>
                  </to>
                </anchor>
              </controlPr>
            </control>
          </mc:Choice>
        </mc:AlternateContent>
        <mc:AlternateContent xmlns:mc="http://schemas.openxmlformats.org/markup-compatibility/2006">
          <mc:Choice Requires="x14">
            <control shapeId="1732" r:id="rId348" name="Button 708">
              <controlPr defaultSize="0" print="0" autoFill="0" autoPict="0" macro="[0]!Pulsante_CANC_22_Click">
                <anchor moveWithCells="1" sizeWithCells="1">
                  <from>
                    <xdr:col>6</xdr:col>
                    <xdr:colOff>28575</xdr:colOff>
                    <xdr:row>22</xdr:row>
                    <xdr:rowOff>19050</xdr:rowOff>
                  </from>
                  <to>
                    <xdr:col>6</xdr:col>
                    <xdr:colOff>447675</xdr:colOff>
                    <xdr:row>22</xdr:row>
                    <xdr:rowOff>266700</xdr:rowOff>
                  </to>
                </anchor>
              </controlPr>
            </control>
          </mc:Choice>
        </mc:AlternateContent>
        <mc:AlternateContent xmlns:mc="http://schemas.openxmlformats.org/markup-compatibility/2006">
          <mc:Choice Requires="x14">
            <control shapeId="1733" r:id="rId349" name="Button 709">
              <controlPr defaultSize="0" print="0" autoFill="0" autoPict="0" macro="[0]!Pulsante_CANC_23_Click">
                <anchor moveWithCells="1" sizeWithCells="1">
                  <from>
                    <xdr:col>6</xdr:col>
                    <xdr:colOff>28575</xdr:colOff>
                    <xdr:row>23</xdr:row>
                    <xdr:rowOff>19050</xdr:rowOff>
                  </from>
                  <to>
                    <xdr:col>6</xdr:col>
                    <xdr:colOff>447675</xdr:colOff>
                    <xdr:row>23</xdr:row>
                    <xdr:rowOff>266700</xdr:rowOff>
                  </to>
                </anchor>
              </controlPr>
            </control>
          </mc:Choice>
        </mc:AlternateContent>
        <mc:AlternateContent xmlns:mc="http://schemas.openxmlformats.org/markup-compatibility/2006">
          <mc:Choice Requires="x14">
            <control shapeId="1734" r:id="rId350" name="Button 710">
              <controlPr defaultSize="0" print="0" autoFill="0" autoPict="0" macro="[0]!Pulsante_CANC_24_Click">
                <anchor moveWithCells="1" sizeWithCells="1">
                  <from>
                    <xdr:col>6</xdr:col>
                    <xdr:colOff>28575</xdr:colOff>
                    <xdr:row>24</xdr:row>
                    <xdr:rowOff>19050</xdr:rowOff>
                  </from>
                  <to>
                    <xdr:col>6</xdr:col>
                    <xdr:colOff>447675</xdr:colOff>
                    <xdr:row>24</xdr:row>
                    <xdr:rowOff>266700</xdr:rowOff>
                  </to>
                </anchor>
              </controlPr>
            </control>
          </mc:Choice>
        </mc:AlternateContent>
        <mc:AlternateContent xmlns:mc="http://schemas.openxmlformats.org/markup-compatibility/2006">
          <mc:Choice Requires="x14">
            <control shapeId="1735" r:id="rId351" name="Button 711">
              <controlPr defaultSize="0" print="0" autoFill="0" autoPict="0" macro="[0]!Pulsante_CANC_25_Click">
                <anchor moveWithCells="1" sizeWithCells="1">
                  <from>
                    <xdr:col>6</xdr:col>
                    <xdr:colOff>28575</xdr:colOff>
                    <xdr:row>25</xdr:row>
                    <xdr:rowOff>19050</xdr:rowOff>
                  </from>
                  <to>
                    <xdr:col>6</xdr:col>
                    <xdr:colOff>447675</xdr:colOff>
                    <xdr:row>25</xdr:row>
                    <xdr:rowOff>266700</xdr:rowOff>
                  </to>
                </anchor>
              </controlPr>
            </control>
          </mc:Choice>
        </mc:AlternateContent>
        <mc:AlternateContent xmlns:mc="http://schemas.openxmlformats.org/markup-compatibility/2006">
          <mc:Choice Requires="x14">
            <control shapeId="1736" r:id="rId352" name="Button 712">
              <controlPr defaultSize="0" print="0" autoFill="0" autoPict="0" macro="[0]!Pulsante_CANC_27_Click">
                <anchor moveWithCells="1" sizeWithCells="1">
                  <from>
                    <xdr:col>6</xdr:col>
                    <xdr:colOff>28575</xdr:colOff>
                    <xdr:row>27</xdr:row>
                    <xdr:rowOff>19050</xdr:rowOff>
                  </from>
                  <to>
                    <xdr:col>6</xdr:col>
                    <xdr:colOff>447675</xdr:colOff>
                    <xdr:row>27</xdr:row>
                    <xdr:rowOff>266700</xdr:rowOff>
                  </to>
                </anchor>
              </controlPr>
            </control>
          </mc:Choice>
        </mc:AlternateContent>
        <mc:AlternateContent xmlns:mc="http://schemas.openxmlformats.org/markup-compatibility/2006">
          <mc:Choice Requires="x14">
            <control shapeId="1737" r:id="rId353" name="Button 713">
              <controlPr defaultSize="0" print="0" autoFill="0" autoPict="0" macro="[0]!Pulsante_CANC_28_Click">
                <anchor moveWithCells="1" sizeWithCells="1">
                  <from>
                    <xdr:col>6</xdr:col>
                    <xdr:colOff>28575</xdr:colOff>
                    <xdr:row>28</xdr:row>
                    <xdr:rowOff>19050</xdr:rowOff>
                  </from>
                  <to>
                    <xdr:col>6</xdr:col>
                    <xdr:colOff>447675</xdr:colOff>
                    <xdr:row>28</xdr:row>
                    <xdr:rowOff>266700</xdr:rowOff>
                  </to>
                </anchor>
              </controlPr>
            </control>
          </mc:Choice>
        </mc:AlternateContent>
        <mc:AlternateContent xmlns:mc="http://schemas.openxmlformats.org/markup-compatibility/2006">
          <mc:Choice Requires="x14">
            <control shapeId="1738" r:id="rId354" name="Button 714">
              <controlPr defaultSize="0" print="0" autoFill="0" autoPict="0" macro="[0]!Pulsante_CANC_29_Click">
                <anchor moveWithCells="1" sizeWithCells="1">
                  <from>
                    <xdr:col>6</xdr:col>
                    <xdr:colOff>28575</xdr:colOff>
                    <xdr:row>29</xdr:row>
                    <xdr:rowOff>19050</xdr:rowOff>
                  </from>
                  <to>
                    <xdr:col>6</xdr:col>
                    <xdr:colOff>447675</xdr:colOff>
                    <xdr:row>29</xdr:row>
                    <xdr:rowOff>266700</xdr:rowOff>
                  </to>
                </anchor>
              </controlPr>
            </control>
          </mc:Choice>
        </mc:AlternateContent>
        <mc:AlternateContent xmlns:mc="http://schemas.openxmlformats.org/markup-compatibility/2006">
          <mc:Choice Requires="x14">
            <control shapeId="1739" r:id="rId355" name="Button 715">
              <controlPr defaultSize="0" print="0" autoFill="0" autoPict="0" macro="[0]!Pulsante_CANC_30_Click">
                <anchor moveWithCells="1" sizeWithCells="1">
                  <from>
                    <xdr:col>6</xdr:col>
                    <xdr:colOff>28575</xdr:colOff>
                    <xdr:row>30</xdr:row>
                    <xdr:rowOff>19050</xdr:rowOff>
                  </from>
                  <to>
                    <xdr:col>6</xdr:col>
                    <xdr:colOff>447675</xdr:colOff>
                    <xdr:row>30</xdr:row>
                    <xdr:rowOff>266700</xdr:rowOff>
                  </to>
                </anchor>
              </controlPr>
            </control>
          </mc:Choice>
        </mc:AlternateContent>
        <mc:AlternateContent xmlns:mc="http://schemas.openxmlformats.org/markup-compatibility/2006">
          <mc:Choice Requires="x14">
            <control shapeId="1740" r:id="rId356" name="Button 716">
              <controlPr defaultSize="0" print="0" autoFill="0" autoPict="0" macro="[0]!Pulsante_CANC_31_Click">
                <anchor moveWithCells="1" sizeWithCells="1">
                  <from>
                    <xdr:col>6</xdr:col>
                    <xdr:colOff>28575</xdr:colOff>
                    <xdr:row>31</xdr:row>
                    <xdr:rowOff>19050</xdr:rowOff>
                  </from>
                  <to>
                    <xdr:col>6</xdr:col>
                    <xdr:colOff>447675</xdr:colOff>
                    <xdr:row>31</xdr:row>
                    <xdr:rowOff>266700</xdr:rowOff>
                  </to>
                </anchor>
              </controlPr>
            </control>
          </mc:Choice>
        </mc:AlternateContent>
        <mc:AlternateContent xmlns:mc="http://schemas.openxmlformats.org/markup-compatibility/2006">
          <mc:Choice Requires="x14">
            <control shapeId="1741" r:id="rId357" name="Button 717">
              <controlPr defaultSize="0" print="0" autoFill="0" autoPict="0" macro="[0]!Pulsante_CANC_32_Click">
                <anchor moveWithCells="1" sizeWithCells="1">
                  <from>
                    <xdr:col>6</xdr:col>
                    <xdr:colOff>28575</xdr:colOff>
                    <xdr:row>32</xdr:row>
                    <xdr:rowOff>19050</xdr:rowOff>
                  </from>
                  <to>
                    <xdr:col>6</xdr:col>
                    <xdr:colOff>447675</xdr:colOff>
                    <xdr:row>32</xdr:row>
                    <xdr:rowOff>266700</xdr:rowOff>
                  </to>
                </anchor>
              </controlPr>
            </control>
          </mc:Choice>
        </mc:AlternateContent>
        <mc:AlternateContent xmlns:mc="http://schemas.openxmlformats.org/markup-compatibility/2006">
          <mc:Choice Requires="x14">
            <control shapeId="1742" r:id="rId358" name="Button 718">
              <controlPr defaultSize="0" print="0" autoFill="0" autoPict="0" macro="[0]!Pulsante_CANC_33_Click">
                <anchor moveWithCells="1" sizeWithCells="1">
                  <from>
                    <xdr:col>6</xdr:col>
                    <xdr:colOff>28575</xdr:colOff>
                    <xdr:row>33</xdr:row>
                    <xdr:rowOff>19050</xdr:rowOff>
                  </from>
                  <to>
                    <xdr:col>6</xdr:col>
                    <xdr:colOff>447675</xdr:colOff>
                    <xdr:row>33</xdr:row>
                    <xdr:rowOff>266700</xdr:rowOff>
                  </to>
                </anchor>
              </controlPr>
            </control>
          </mc:Choice>
        </mc:AlternateContent>
        <mc:AlternateContent xmlns:mc="http://schemas.openxmlformats.org/markup-compatibility/2006">
          <mc:Choice Requires="x14">
            <control shapeId="1743" r:id="rId359" name="Button 719">
              <controlPr defaultSize="0" print="0" autoFill="0" autoPict="0" macro="[0]!Pulsante_CANC_34_Click">
                <anchor moveWithCells="1" sizeWithCells="1">
                  <from>
                    <xdr:col>6</xdr:col>
                    <xdr:colOff>28575</xdr:colOff>
                    <xdr:row>34</xdr:row>
                    <xdr:rowOff>19050</xdr:rowOff>
                  </from>
                  <to>
                    <xdr:col>6</xdr:col>
                    <xdr:colOff>447675</xdr:colOff>
                    <xdr:row>34</xdr:row>
                    <xdr:rowOff>266700</xdr:rowOff>
                  </to>
                </anchor>
              </controlPr>
            </control>
          </mc:Choice>
        </mc:AlternateContent>
        <mc:AlternateContent xmlns:mc="http://schemas.openxmlformats.org/markup-compatibility/2006">
          <mc:Choice Requires="x14">
            <control shapeId="1744" r:id="rId360" name="Button 720">
              <controlPr defaultSize="0" print="0" autoFill="0" autoPict="0" macro="[0]!Pulsante_CANC_35_Click">
                <anchor moveWithCells="1" sizeWithCells="1">
                  <from>
                    <xdr:col>6</xdr:col>
                    <xdr:colOff>28575</xdr:colOff>
                    <xdr:row>35</xdr:row>
                    <xdr:rowOff>19050</xdr:rowOff>
                  </from>
                  <to>
                    <xdr:col>6</xdr:col>
                    <xdr:colOff>447675</xdr:colOff>
                    <xdr:row>35</xdr:row>
                    <xdr:rowOff>266700</xdr:rowOff>
                  </to>
                </anchor>
              </controlPr>
            </control>
          </mc:Choice>
        </mc:AlternateContent>
        <mc:AlternateContent xmlns:mc="http://schemas.openxmlformats.org/markup-compatibility/2006">
          <mc:Choice Requires="x14">
            <control shapeId="1745" r:id="rId361" name="Button 721">
              <controlPr defaultSize="0" print="0" autoFill="0" autoPict="0" macro="[0]!Pulsante_CANC_36_Click">
                <anchor moveWithCells="1" sizeWithCells="1">
                  <from>
                    <xdr:col>6</xdr:col>
                    <xdr:colOff>28575</xdr:colOff>
                    <xdr:row>36</xdr:row>
                    <xdr:rowOff>19050</xdr:rowOff>
                  </from>
                  <to>
                    <xdr:col>6</xdr:col>
                    <xdr:colOff>447675</xdr:colOff>
                    <xdr:row>36</xdr:row>
                    <xdr:rowOff>266700</xdr:rowOff>
                  </to>
                </anchor>
              </controlPr>
            </control>
          </mc:Choice>
        </mc:AlternateContent>
        <mc:AlternateContent xmlns:mc="http://schemas.openxmlformats.org/markup-compatibility/2006">
          <mc:Choice Requires="x14">
            <control shapeId="1746" r:id="rId362" name="Button 722">
              <controlPr defaultSize="0" print="0" autoFill="0" autoPict="0" macro="[0]!Pulsante_CANC_37_Click">
                <anchor moveWithCells="1" sizeWithCells="1">
                  <from>
                    <xdr:col>6</xdr:col>
                    <xdr:colOff>28575</xdr:colOff>
                    <xdr:row>37</xdr:row>
                    <xdr:rowOff>19050</xdr:rowOff>
                  </from>
                  <to>
                    <xdr:col>6</xdr:col>
                    <xdr:colOff>447675</xdr:colOff>
                    <xdr:row>37</xdr:row>
                    <xdr:rowOff>266700</xdr:rowOff>
                  </to>
                </anchor>
              </controlPr>
            </control>
          </mc:Choice>
        </mc:AlternateContent>
        <mc:AlternateContent xmlns:mc="http://schemas.openxmlformats.org/markup-compatibility/2006">
          <mc:Choice Requires="x14">
            <control shapeId="1747" r:id="rId363" name="Button 723">
              <controlPr defaultSize="0" print="0" autoFill="0" autoPict="0" macro="[0]!Pulsante_CANC_38_Click">
                <anchor moveWithCells="1" sizeWithCells="1">
                  <from>
                    <xdr:col>6</xdr:col>
                    <xdr:colOff>28575</xdr:colOff>
                    <xdr:row>38</xdr:row>
                    <xdr:rowOff>19050</xdr:rowOff>
                  </from>
                  <to>
                    <xdr:col>6</xdr:col>
                    <xdr:colOff>447675</xdr:colOff>
                    <xdr:row>38</xdr:row>
                    <xdr:rowOff>266700</xdr:rowOff>
                  </to>
                </anchor>
              </controlPr>
            </control>
          </mc:Choice>
        </mc:AlternateContent>
        <mc:AlternateContent xmlns:mc="http://schemas.openxmlformats.org/markup-compatibility/2006">
          <mc:Choice Requires="x14">
            <control shapeId="1748" r:id="rId364" name="Button 724">
              <controlPr defaultSize="0" print="0" autoFill="0" autoPict="0" macro="[0]!Pulsante_CANC_39_Click">
                <anchor moveWithCells="1" sizeWithCells="1">
                  <from>
                    <xdr:col>6</xdr:col>
                    <xdr:colOff>28575</xdr:colOff>
                    <xdr:row>39</xdr:row>
                    <xdr:rowOff>19050</xdr:rowOff>
                  </from>
                  <to>
                    <xdr:col>6</xdr:col>
                    <xdr:colOff>447675</xdr:colOff>
                    <xdr:row>39</xdr:row>
                    <xdr:rowOff>266700</xdr:rowOff>
                  </to>
                </anchor>
              </controlPr>
            </control>
          </mc:Choice>
        </mc:AlternateContent>
        <mc:AlternateContent xmlns:mc="http://schemas.openxmlformats.org/markup-compatibility/2006">
          <mc:Choice Requires="x14">
            <control shapeId="1749" r:id="rId365" name="Button 725">
              <controlPr defaultSize="0" print="0" autoFill="0" autoPict="0" macro="[0]!Pulsante_CANC_40_Click">
                <anchor moveWithCells="1" sizeWithCells="1">
                  <from>
                    <xdr:col>6</xdr:col>
                    <xdr:colOff>28575</xdr:colOff>
                    <xdr:row>40</xdr:row>
                    <xdr:rowOff>19050</xdr:rowOff>
                  </from>
                  <to>
                    <xdr:col>6</xdr:col>
                    <xdr:colOff>447675</xdr:colOff>
                    <xdr:row>40</xdr:row>
                    <xdr:rowOff>266700</xdr:rowOff>
                  </to>
                </anchor>
              </controlPr>
            </control>
          </mc:Choice>
        </mc:AlternateContent>
        <mc:AlternateContent xmlns:mc="http://schemas.openxmlformats.org/markup-compatibility/2006">
          <mc:Choice Requires="x14">
            <control shapeId="1750" r:id="rId366" name="Button 726">
              <controlPr defaultSize="0" print="0" autoFill="0" autoPict="0" macro="[0]!Pulsante_CANC_41_Click">
                <anchor moveWithCells="1" sizeWithCells="1">
                  <from>
                    <xdr:col>6</xdr:col>
                    <xdr:colOff>28575</xdr:colOff>
                    <xdr:row>41</xdr:row>
                    <xdr:rowOff>19050</xdr:rowOff>
                  </from>
                  <to>
                    <xdr:col>6</xdr:col>
                    <xdr:colOff>447675</xdr:colOff>
                    <xdr:row>41</xdr:row>
                    <xdr:rowOff>266700</xdr:rowOff>
                  </to>
                </anchor>
              </controlPr>
            </control>
          </mc:Choice>
        </mc:AlternateContent>
        <mc:AlternateContent xmlns:mc="http://schemas.openxmlformats.org/markup-compatibility/2006">
          <mc:Choice Requires="x14">
            <control shapeId="1751" r:id="rId367" name="Button 727">
              <controlPr defaultSize="0" print="0" autoFill="0" autoPict="0" macro="[0]!Pulsante_CANC_42_Click">
                <anchor moveWithCells="1" sizeWithCells="1">
                  <from>
                    <xdr:col>6</xdr:col>
                    <xdr:colOff>28575</xdr:colOff>
                    <xdr:row>42</xdr:row>
                    <xdr:rowOff>19050</xdr:rowOff>
                  </from>
                  <to>
                    <xdr:col>6</xdr:col>
                    <xdr:colOff>447675</xdr:colOff>
                    <xdr:row>42</xdr:row>
                    <xdr:rowOff>266700</xdr:rowOff>
                  </to>
                </anchor>
              </controlPr>
            </control>
          </mc:Choice>
        </mc:AlternateContent>
        <mc:AlternateContent xmlns:mc="http://schemas.openxmlformats.org/markup-compatibility/2006">
          <mc:Choice Requires="x14">
            <control shapeId="1752" r:id="rId368" name="Button 728">
              <controlPr defaultSize="0" print="0" autoFill="0" autoPict="0" macro="[0]!Pulsante_CANC_43_Click">
                <anchor moveWithCells="1" sizeWithCells="1">
                  <from>
                    <xdr:col>6</xdr:col>
                    <xdr:colOff>28575</xdr:colOff>
                    <xdr:row>43</xdr:row>
                    <xdr:rowOff>19050</xdr:rowOff>
                  </from>
                  <to>
                    <xdr:col>6</xdr:col>
                    <xdr:colOff>447675</xdr:colOff>
                    <xdr:row>43</xdr:row>
                    <xdr:rowOff>266700</xdr:rowOff>
                  </to>
                </anchor>
              </controlPr>
            </control>
          </mc:Choice>
        </mc:AlternateContent>
        <mc:AlternateContent xmlns:mc="http://schemas.openxmlformats.org/markup-compatibility/2006">
          <mc:Choice Requires="x14">
            <control shapeId="1753" r:id="rId369" name="Button 729">
              <controlPr defaultSize="0" print="0" autoFill="0" autoPict="0" macro="[0]!Modulo2.Pulsante_CANC_44_Click">
                <anchor moveWithCells="1" sizeWithCells="1">
                  <from>
                    <xdr:col>6</xdr:col>
                    <xdr:colOff>28575</xdr:colOff>
                    <xdr:row>44</xdr:row>
                    <xdr:rowOff>19050</xdr:rowOff>
                  </from>
                  <to>
                    <xdr:col>6</xdr:col>
                    <xdr:colOff>447675</xdr:colOff>
                    <xdr:row>44</xdr:row>
                    <xdr:rowOff>266700</xdr:rowOff>
                  </to>
                </anchor>
              </controlPr>
            </control>
          </mc:Choice>
        </mc:AlternateContent>
        <mc:AlternateContent xmlns:mc="http://schemas.openxmlformats.org/markup-compatibility/2006">
          <mc:Choice Requires="x14">
            <control shapeId="1754" r:id="rId370" name="Button 730">
              <controlPr defaultSize="0" print="0" autoFill="0" autoPict="0" macro="[0]!Pulsante_CANC_45_Click">
                <anchor moveWithCells="1" sizeWithCells="1">
                  <from>
                    <xdr:col>6</xdr:col>
                    <xdr:colOff>28575</xdr:colOff>
                    <xdr:row>45</xdr:row>
                    <xdr:rowOff>19050</xdr:rowOff>
                  </from>
                  <to>
                    <xdr:col>6</xdr:col>
                    <xdr:colOff>447675</xdr:colOff>
                    <xdr:row>45</xdr:row>
                    <xdr:rowOff>266700</xdr:rowOff>
                  </to>
                </anchor>
              </controlPr>
            </control>
          </mc:Choice>
        </mc:AlternateContent>
        <mc:AlternateContent xmlns:mc="http://schemas.openxmlformats.org/markup-compatibility/2006">
          <mc:Choice Requires="x14">
            <control shapeId="1755" r:id="rId371" name="Button 731">
              <controlPr defaultSize="0" print="0" autoFill="0" autoPict="0" macro="[0]!Pulsante_CANC_46_Click">
                <anchor moveWithCells="1" sizeWithCells="1">
                  <from>
                    <xdr:col>6</xdr:col>
                    <xdr:colOff>28575</xdr:colOff>
                    <xdr:row>46</xdr:row>
                    <xdr:rowOff>19050</xdr:rowOff>
                  </from>
                  <to>
                    <xdr:col>6</xdr:col>
                    <xdr:colOff>447675</xdr:colOff>
                    <xdr:row>46</xdr:row>
                    <xdr:rowOff>266700</xdr:rowOff>
                  </to>
                </anchor>
              </controlPr>
            </control>
          </mc:Choice>
        </mc:AlternateContent>
        <mc:AlternateContent xmlns:mc="http://schemas.openxmlformats.org/markup-compatibility/2006">
          <mc:Choice Requires="x14">
            <control shapeId="1756" r:id="rId372" name="Button 732">
              <controlPr defaultSize="0" print="0" autoFill="0" autoPict="0" macro="[0]!Pulsante_CANC_47_Click">
                <anchor moveWithCells="1" sizeWithCells="1">
                  <from>
                    <xdr:col>6</xdr:col>
                    <xdr:colOff>28575</xdr:colOff>
                    <xdr:row>47</xdr:row>
                    <xdr:rowOff>19050</xdr:rowOff>
                  </from>
                  <to>
                    <xdr:col>6</xdr:col>
                    <xdr:colOff>447675</xdr:colOff>
                    <xdr:row>47</xdr:row>
                    <xdr:rowOff>266700</xdr:rowOff>
                  </to>
                </anchor>
              </controlPr>
            </control>
          </mc:Choice>
        </mc:AlternateContent>
        <mc:AlternateContent xmlns:mc="http://schemas.openxmlformats.org/markup-compatibility/2006">
          <mc:Choice Requires="x14">
            <control shapeId="1757" r:id="rId373" name="Button 733">
              <controlPr defaultSize="0" print="0" autoFill="0" autoPict="0" macro="[0]!Pulsante_CANC_48_Click">
                <anchor moveWithCells="1" sizeWithCells="1">
                  <from>
                    <xdr:col>6</xdr:col>
                    <xdr:colOff>28575</xdr:colOff>
                    <xdr:row>48</xdr:row>
                    <xdr:rowOff>19050</xdr:rowOff>
                  </from>
                  <to>
                    <xdr:col>6</xdr:col>
                    <xdr:colOff>447675</xdr:colOff>
                    <xdr:row>48</xdr:row>
                    <xdr:rowOff>266700</xdr:rowOff>
                  </to>
                </anchor>
              </controlPr>
            </control>
          </mc:Choice>
        </mc:AlternateContent>
        <mc:AlternateContent xmlns:mc="http://schemas.openxmlformats.org/markup-compatibility/2006">
          <mc:Choice Requires="x14">
            <control shapeId="1758" r:id="rId374" name="Button 734">
              <controlPr defaultSize="0" print="0" autoFill="0" autoPict="0" macro="[0]!Pulsante_CANC_49_Click">
                <anchor moveWithCells="1" sizeWithCells="1">
                  <from>
                    <xdr:col>6</xdr:col>
                    <xdr:colOff>28575</xdr:colOff>
                    <xdr:row>49</xdr:row>
                    <xdr:rowOff>19050</xdr:rowOff>
                  </from>
                  <to>
                    <xdr:col>6</xdr:col>
                    <xdr:colOff>447675</xdr:colOff>
                    <xdr:row>49</xdr:row>
                    <xdr:rowOff>266700</xdr:rowOff>
                  </to>
                </anchor>
              </controlPr>
            </control>
          </mc:Choice>
        </mc:AlternateContent>
        <mc:AlternateContent xmlns:mc="http://schemas.openxmlformats.org/markup-compatibility/2006">
          <mc:Choice Requires="x14">
            <control shapeId="1759" r:id="rId375" name="Button 735">
              <controlPr defaultSize="0" print="0" autoFill="0" autoPict="0" macro="[0]!Pulsante_CANC_53_Click">
                <anchor moveWithCells="1" sizeWithCells="1">
                  <from>
                    <xdr:col>6</xdr:col>
                    <xdr:colOff>28575</xdr:colOff>
                    <xdr:row>53</xdr:row>
                    <xdr:rowOff>19050</xdr:rowOff>
                  </from>
                  <to>
                    <xdr:col>6</xdr:col>
                    <xdr:colOff>447675</xdr:colOff>
                    <xdr:row>53</xdr:row>
                    <xdr:rowOff>266700</xdr:rowOff>
                  </to>
                </anchor>
              </controlPr>
            </control>
          </mc:Choice>
        </mc:AlternateContent>
        <mc:AlternateContent xmlns:mc="http://schemas.openxmlformats.org/markup-compatibility/2006">
          <mc:Choice Requires="x14">
            <control shapeId="1760" r:id="rId376" name="Button 736">
              <controlPr defaultSize="0" print="0" autoFill="0" autoPict="0" macro="[0]!Pulsante_CANC_54_Click">
                <anchor moveWithCells="1" sizeWithCells="1">
                  <from>
                    <xdr:col>6</xdr:col>
                    <xdr:colOff>28575</xdr:colOff>
                    <xdr:row>54</xdr:row>
                    <xdr:rowOff>19050</xdr:rowOff>
                  </from>
                  <to>
                    <xdr:col>6</xdr:col>
                    <xdr:colOff>447675</xdr:colOff>
                    <xdr:row>54</xdr:row>
                    <xdr:rowOff>266700</xdr:rowOff>
                  </to>
                </anchor>
              </controlPr>
            </control>
          </mc:Choice>
        </mc:AlternateContent>
        <mc:AlternateContent xmlns:mc="http://schemas.openxmlformats.org/markup-compatibility/2006">
          <mc:Choice Requires="x14">
            <control shapeId="1761" r:id="rId377" name="Button 737">
              <controlPr defaultSize="0" print="0" autoFill="0" autoPict="0" macro="[0]!Pulsante_CANC_55_Click">
                <anchor moveWithCells="1" sizeWithCells="1">
                  <from>
                    <xdr:col>6</xdr:col>
                    <xdr:colOff>28575</xdr:colOff>
                    <xdr:row>55</xdr:row>
                    <xdr:rowOff>19050</xdr:rowOff>
                  </from>
                  <to>
                    <xdr:col>6</xdr:col>
                    <xdr:colOff>447675</xdr:colOff>
                    <xdr:row>55</xdr:row>
                    <xdr:rowOff>266700</xdr:rowOff>
                  </to>
                </anchor>
              </controlPr>
            </control>
          </mc:Choice>
        </mc:AlternateContent>
        <mc:AlternateContent xmlns:mc="http://schemas.openxmlformats.org/markup-compatibility/2006">
          <mc:Choice Requires="x14">
            <control shapeId="1762" r:id="rId378" name="Button 738">
              <controlPr defaultSize="0" print="0" autoFill="0" autoPict="0" macro="[0]!Pulsante_CANC_56_Click">
                <anchor moveWithCells="1" sizeWithCells="1">
                  <from>
                    <xdr:col>6</xdr:col>
                    <xdr:colOff>28575</xdr:colOff>
                    <xdr:row>56</xdr:row>
                    <xdr:rowOff>19050</xdr:rowOff>
                  </from>
                  <to>
                    <xdr:col>6</xdr:col>
                    <xdr:colOff>447675</xdr:colOff>
                    <xdr:row>56</xdr:row>
                    <xdr:rowOff>266700</xdr:rowOff>
                  </to>
                </anchor>
              </controlPr>
            </control>
          </mc:Choice>
        </mc:AlternateContent>
        <mc:AlternateContent xmlns:mc="http://schemas.openxmlformats.org/markup-compatibility/2006">
          <mc:Choice Requires="x14">
            <control shapeId="1763" r:id="rId379" name="Button 739">
              <controlPr defaultSize="0" print="0" autoFill="0" autoPict="0" macro="[0]!Pulsante_CANC_57_Click">
                <anchor moveWithCells="1" sizeWithCells="1">
                  <from>
                    <xdr:col>6</xdr:col>
                    <xdr:colOff>28575</xdr:colOff>
                    <xdr:row>57</xdr:row>
                    <xdr:rowOff>19050</xdr:rowOff>
                  </from>
                  <to>
                    <xdr:col>6</xdr:col>
                    <xdr:colOff>447675</xdr:colOff>
                    <xdr:row>57</xdr:row>
                    <xdr:rowOff>266700</xdr:rowOff>
                  </to>
                </anchor>
              </controlPr>
            </control>
          </mc:Choice>
        </mc:AlternateContent>
        <mc:AlternateContent xmlns:mc="http://schemas.openxmlformats.org/markup-compatibility/2006">
          <mc:Choice Requires="x14">
            <control shapeId="1764" r:id="rId380" name="Button 740">
              <controlPr defaultSize="0" print="0" autoFill="0" autoPict="0" macro="[0]!Pulsante_CANC_58_Click">
                <anchor moveWithCells="1" sizeWithCells="1">
                  <from>
                    <xdr:col>6</xdr:col>
                    <xdr:colOff>28575</xdr:colOff>
                    <xdr:row>58</xdr:row>
                    <xdr:rowOff>19050</xdr:rowOff>
                  </from>
                  <to>
                    <xdr:col>6</xdr:col>
                    <xdr:colOff>447675</xdr:colOff>
                    <xdr:row>58</xdr:row>
                    <xdr:rowOff>266700</xdr:rowOff>
                  </to>
                </anchor>
              </controlPr>
            </control>
          </mc:Choice>
        </mc:AlternateContent>
        <mc:AlternateContent xmlns:mc="http://schemas.openxmlformats.org/markup-compatibility/2006">
          <mc:Choice Requires="x14">
            <control shapeId="1765" r:id="rId381" name="Button 741">
              <controlPr defaultSize="0" print="0" autoFill="0" autoPict="0" macro="[0]!Pulsante_CANC_59_Click">
                <anchor moveWithCells="1" sizeWithCells="1">
                  <from>
                    <xdr:col>6</xdr:col>
                    <xdr:colOff>28575</xdr:colOff>
                    <xdr:row>59</xdr:row>
                    <xdr:rowOff>19050</xdr:rowOff>
                  </from>
                  <to>
                    <xdr:col>6</xdr:col>
                    <xdr:colOff>447675</xdr:colOff>
                    <xdr:row>59</xdr:row>
                    <xdr:rowOff>266700</xdr:rowOff>
                  </to>
                </anchor>
              </controlPr>
            </control>
          </mc:Choice>
        </mc:AlternateContent>
        <mc:AlternateContent xmlns:mc="http://schemas.openxmlformats.org/markup-compatibility/2006">
          <mc:Choice Requires="x14">
            <control shapeId="1766" r:id="rId382" name="Button 742">
              <controlPr defaultSize="0" print="0" autoFill="0" autoPict="0" macro="[0]!Pulsante_CANC_60_Click">
                <anchor moveWithCells="1" sizeWithCells="1">
                  <from>
                    <xdr:col>6</xdr:col>
                    <xdr:colOff>28575</xdr:colOff>
                    <xdr:row>60</xdr:row>
                    <xdr:rowOff>19050</xdr:rowOff>
                  </from>
                  <to>
                    <xdr:col>6</xdr:col>
                    <xdr:colOff>447675</xdr:colOff>
                    <xdr:row>60</xdr:row>
                    <xdr:rowOff>266700</xdr:rowOff>
                  </to>
                </anchor>
              </controlPr>
            </control>
          </mc:Choice>
        </mc:AlternateContent>
        <mc:AlternateContent xmlns:mc="http://schemas.openxmlformats.org/markup-compatibility/2006">
          <mc:Choice Requires="x14">
            <control shapeId="1767" r:id="rId383" name="Button 743">
              <controlPr defaultSize="0" print="0" autoFill="0" autoPict="0" macro="[0]!Pulsante_CANC_61_Click">
                <anchor moveWithCells="1" sizeWithCells="1">
                  <from>
                    <xdr:col>6</xdr:col>
                    <xdr:colOff>28575</xdr:colOff>
                    <xdr:row>61</xdr:row>
                    <xdr:rowOff>19050</xdr:rowOff>
                  </from>
                  <to>
                    <xdr:col>6</xdr:col>
                    <xdr:colOff>447675</xdr:colOff>
                    <xdr:row>61</xdr:row>
                    <xdr:rowOff>266700</xdr:rowOff>
                  </to>
                </anchor>
              </controlPr>
            </control>
          </mc:Choice>
        </mc:AlternateContent>
        <mc:AlternateContent xmlns:mc="http://schemas.openxmlformats.org/markup-compatibility/2006">
          <mc:Choice Requires="x14">
            <control shapeId="1768" r:id="rId384" name="Button 744">
              <controlPr defaultSize="0" print="0" autoFill="0" autoPict="0" macro="[0]!Pulsante_CANC_62_Click">
                <anchor moveWithCells="1" sizeWithCells="1">
                  <from>
                    <xdr:col>6</xdr:col>
                    <xdr:colOff>28575</xdr:colOff>
                    <xdr:row>62</xdr:row>
                    <xdr:rowOff>19050</xdr:rowOff>
                  </from>
                  <to>
                    <xdr:col>6</xdr:col>
                    <xdr:colOff>447675</xdr:colOff>
                    <xdr:row>62</xdr:row>
                    <xdr:rowOff>266700</xdr:rowOff>
                  </to>
                </anchor>
              </controlPr>
            </control>
          </mc:Choice>
        </mc:AlternateContent>
        <mc:AlternateContent xmlns:mc="http://schemas.openxmlformats.org/markup-compatibility/2006">
          <mc:Choice Requires="x14">
            <control shapeId="1769" r:id="rId385" name="Button 745">
              <controlPr defaultSize="0" print="0" autoFill="0" autoPict="0" macro="[0]!Pulsante_CANC_63_Click">
                <anchor moveWithCells="1" sizeWithCells="1">
                  <from>
                    <xdr:col>6</xdr:col>
                    <xdr:colOff>28575</xdr:colOff>
                    <xdr:row>63</xdr:row>
                    <xdr:rowOff>19050</xdr:rowOff>
                  </from>
                  <to>
                    <xdr:col>6</xdr:col>
                    <xdr:colOff>447675</xdr:colOff>
                    <xdr:row>63</xdr:row>
                    <xdr:rowOff>266700</xdr:rowOff>
                  </to>
                </anchor>
              </controlPr>
            </control>
          </mc:Choice>
        </mc:AlternateContent>
        <mc:AlternateContent xmlns:mc="http://schemas.openxmlformats.org/markup-compatibility/2006">
          <mc:Choice Requires="x14">
            <control shapeId="1770" r:id="rId386" name="Button 746">
              <controlPr defaultSize="0" print="0" autoFill="0" autoPict="0" macro="[0]!Pulsante_CANC_64_Click">
                <anchor moveWithCells="1" sizeWithCells="1">
                  <from>
                    <xdr:col>6</xdr:col>
                    <xdr:colOff>28575</xdr:colOff>
                    <xdr:row>64</xdr:row>
                    <xdr:rowOff>19050</xdr:rowOff>
                  </from>
                  <to>
                    <xdr:col>6</xdr:col>
                    <xdr:colOff>447675</xdr:colOff>
                    <xdr:row>64</xdr:row>
                    <xdr:rowOff>266700</xdr:rowOff>
                  </to>
                </anchor>
              </controlPr>
            </control>
          </mc:Choice>
        </mc:AlternateContent>
        <mc:AlternateContent xmlns:mc="http://schemas.openxmlformats.org/markup-compatibility/2006">
          <mc:Choice Requires="x14">
            <control shapeId="1771" r:id="rId387" name="Button 747">
              <controlPr defaultSize="0" print="0" autoFill="0" autoPict="0" macro="[0]!Pulsante_CANC_65_Click">
                <anchor moveWithCells="1" sizeWithCells="1">
                  <from>
                    <xdr:col>6</xdr:col>
                    <xdr:colOff>28575</xdr:colOff>
                    <xdr:row>65</xdr:row>
                    <xdr:rowOff>19050</xdr:rowOff>
                  </from>
                  <to>
                    <xdr:col>6</xdr:col>
                    <xdr:colOff>447675</xdr:colOff>
                    <xdr:row>65</xdr:row>
                    <xdr:rowOff>266700</xdr:rowOff>
                  </to>
                </anchor>
              </controlPr>
            </control>
          </mc:Choice>
        </mc:AlternateContent>
        <mc:AlternateContent xmlns:mc="http://schemas.openxmlformats.org/markup-compatibility/2006">
          <mc:Choice Requires="x14">
            <control shapeId="1772" r:id="rId388" name="Button 748">
              <controlPr defaultSize="0" print="0" autoFill="0" autoPict="0" macro="[0]!Pulsante_CANC_66_Click">
                <anchor moveWithCells="1" sizeWithCells="1">
                  <from>
                    <xdr:col>6</xdr:col>
                    <xdr:colOff>28575</xdr:colOff>
                    <xdr:row>66</xdr:row>
                    <xdr:rowOff>19050</xdr:rowOff>
                  </from>
                  <to>
                    <xdr:col>6</xdr:col>
                    <xdr:colOff>447675</xdr:colOff>
                    <xdr:row>66</xdr:row>
                    <xdr:rowOff>266700</xdr:rowOff>
                  </to>
                </anchor>
              </controlPr>
            </control>
          </mc:Choice>
        </mc:AlternateContent>
        <mc:AlternateContent xmlns:mc="http://schemas.openxmlformats.org/markup-compatibility/2006">
          <mc:Choice Requires="x14">
            <control shapeId="1773" r:id="rId389" name="Button 749">
              <controlPr defaultSize="0" print="0" autoFill="0" autoPict="0" macro="[0]!Pulsante_CANC_67_Click">
                <anchor moveWithCells="1" sizeWithCells="1">
                  <from>
                    <xdr:col>6</xdr:col>
                    <xdr:colOff>28575</xdr:colOff>
                    <xdr:row>67</xdr:row>
                    <xdr:rowOff>19050</xdr:rowOff>
                  </from>
                  <to>
                    <xdr:col>6</xdr:col>
                    <xdr:colOff>447675</xdr:colOff>
                    <xdr:row>67</xdr:row>
                    <xdr:rowOff>266700</xdr:rowOff>
                  </to>
                </anchor>
              </controlPr>
            </control>
          </mc:Choice>
        </mc:AlternateContent>
        <mc:AlternateContent xmlns:mc="http://schemas.openxmlformats.org/markup-compatibility/2006">
          <mc:Choice Requires="x14">
            <control shapeId="1774" r:id="rId390" name="Button 750">
              <controlPr defaultSize="0" print="0" autoFill="0" autoPict="0" macro="[0]!Pulsante_CANC_68_Click">
                <anchor moveWithCells="1" sizeWithCells="1">
                  <from>
                    <xdr:col>6</xdr:col>
                    <xdr:colOff>28575</xdr:colOff>
                    <xdr:row>68</xdr:row>
                    <xdr:rowOff>19050</xdr:rowOff>
                  </from>
                  <to>
                    <xdr:col>6</xdr:col>
                    <xdr:colOff>447675</xdr:colOff>
                    <xdr:row>68</xdr:row>
                    <xdr:rowOff>266700</xdr:rowOff>
                  </to>
                </anchor>
              </controlPr>
            </control>
          </mc:Choice>
        </mc:AlternateContent>
        <mc:AlternateContent xmlns:mc="http://schemas.openxmlformats.org/markup-compatibility/2006">
          <mc:Choice Requires="x14">
            <control shapeId="1775" r:id="rId391" name="Button 751">
              <controlPr defaultSize="0" print="0" autoFill="0" autoPict="0" macro="[0]!Pulsante_CANC_69_Click">
                <anchor moveWithCells="1" sizeWithCells="1">
                  <from>
                    <xdr:col>6</xdr:col>
                    <xdr:colOff>28575</xdr:colOff>
                    <xdr:row>69</xdr:row>
                    <xdr:rowOff>19050</xdr:rowOff>
                  </from>
                  <to>
                    <xdr:col>6</xdr:col>
                    <xdr:colOff>447675</xdr:colOff>
                    <xdr:row>69</xdr:row>
                    <xdr:rowOff>266700</xdr:rowOff>
                  </to>
                </anchor>
              </controlPr>
            </control>
          </mc:Choice>
        </mc:AlternateContent>
        <mc:AlternateContent xmlns:mc="http://schemas.openxmlformats.org/markup-compatibility/2006">
          <mc:Choice Requires="x14">
            <control shapeId="1776" r:id="rId392" name="Button 752">
              <controlPr defaultSize="0" print="0" autoFill="0" autoPict="0" macro="[0]!Pulsante_CANC_70_Click">
                <anchor moveWithCells="1" sizeWithCells="1">
                  <from>
                    <xdr:col>6</xdr:col>
                    <xdr:colOff>28575</xdr:colOff>
                    <xdr:row>70</xdr:row>
                    <xdr:rowOff>19050</xdr:rowOff>
                  </from>
                  <to>
                    <xdr:col>6</xdr:col>
                    <xdr:colOff>447675</xdr:colOff>
                    <xdr:row>70</xdr:row>
                    <xdr:rowOff>266700</xdr:rowOff>
                  </to>
                </anchor>
              </controlPr>
            </control>
          </mc:Choice>
        </mc:AlternateContent>
        <mc:AlternateContent xmlns:mc="http://schemas.openxmlformats.org/markup-compatibility/2006">
          <mc:Choice Requires="x14">
            <control shapeId="1777" r:id="rId393" name="Button 753">
              <controlPr defaultSize="0" print="0" autoFill="0" autoPict="0" macro="[0]!Pulsante_CANC_71_Click">
                <anchor moveWithCells="1" sizeWithCells="1">
                  <from>
                    <xdr:col>6</xdr:col>
                    <xdr:colOff>28575</xdr:colOff>
                    <xdr:row>71</xdr:row>
                    <xdr:rowOff>19050</xdr:rowOff>
                  </from>
                  <to>
                    <xdr:col>6</xdr:col>
                    <xdr:colOff>447675</xdr:colOff>
                    <xdr:row>71</xdr:row>
                    <xdr:rowOff>266700</xdr:rowOff>
                  </to>
                </anchor>
              </controlPr>
            </control>
          </mc:Choice>
        </mc:AlternateContent>
        <mc:AlternateContent xmlns:mc="http://schemas.openxmlformats.org/markup-compatibility/2006">
          <mc:Choice Requires="x14">
            <control shapeId="1778" r:id="rId394" name="Button 754">
              <controlPr defaultSize="0" print="0" autoFill="0" autoPict="0" macro="[0]!Pulsante_CANC_72_Click">
                <anchor moveWithCells="1" sizeWithCells="1">
                  <from>
                    <xdr:col>6</xdr:col>
                    <xdr:colOff>28575</xdr:colOff>
                    <xdr:row>72</xdr:row>
                    <xdr:rowOff>19050</xdr:rowOff>
                  </from>
                  <to>
                    <xdr:col>6</xdr:col>
                    <xdr:colOff>447675</xdr:colOff>
                    <xdr:row>72</xdr:row>
                    <xdr:rowOff>266700</xdr:rowOff>
                  </to>
                </anchor>
              </controlPr>
            </control>
          </mc:Choice>
        </mc:AlternateContent>
        <mc:AlternateContent xmlns:mc="http://schemas.openxmlformats.org/markup-compatibility/2006">
          <mc:Choice Requires="x14">
            <control shapeId="1779" r:id="rId395" name="Button 755">
              <controlPr defaultSize="0" print="0" autoFill="0" autoPict="0" macro="[0]!Pulsante_CANC_73_Click">
                <anchor moveWithCells="1" sizeWithCells="1">
                  <from>
                    <xdr:col>6</xdr:col>
                    <xdr:colOff>28575</xdr:colOff>
                    <xdr:row>73</xdr:row>
                    <xdr:rowOff>19050</xdr:rowOff>
                  </from>
                  <to>
                    <xdr:col>6</xdr:col>
                    <xdr:colOff>447675</xdr:colOff>
                    <xdr:row>73</xdr:row>
                    <xdr:rowOff>266700</xdr:rowOff>
                  </to>
                </anchor>
              </controlPr>
            </control>
          </mc:Choice>
        </mc:AlternateContent>
        <mc:AlternateContent xmlns:mc="http://schemas.openxmlformats.org/markup-compatibility/2006">
          <mc:Choice Requires="x14">
            <control shapeId="1780" r:id="rId396" name="Button 756">
              <controlPr defaultSize="0" print="0" autoFill="0" autoPict="0" macro="[0]!Pulsante_CANC_75_Click">
                <anchor moveWithCells="1" sizeWithCells="1">
                  <from>
                    <xdr:col>6</xdr:col>
                    <xdr:colOff>28575</xdr:colOff>
                    <xdr:row>75</xdr:row>
                    <xdr:rowOff>19050</xdr:rowOff>
                  </from>
                  <to>
                    <xdr:col>6</xdr:col>
                    <xdr:colOff>447675</xdr:colOff>
                    <xdr:row>75</xdr:row>
                    <xdr:rowOff>266700</xdr:rowOff>
                  </to>
                </anchor>
              </controlPr>
            </control>
          </mc:Choice>
        </mc:AlternateContent>
        <mc:AlternateContent xmlns:mc="http://schemas.openxmlformats.org/markup-compatibility/2006">
          <mc:Choice Requires="x14">
            <control shapeId="1781" r:id="rId397" name="Button 757">
              <controlPr defaultSize="0" print="0" autoFill="0" autoPict="0" macro="[0]!Pulsante_CANC_76_Click">
                <anchor moveWithCells="1" sizeWithCells="1">
                  <from>
                    <xdr:col>6</xdr:col>
                    <xdr:colOff>28575</xdr:colOff>
                    <xdr:row>76</xdr:row>
                    <xdr:rowOff>19050</xdr:rowOff>
                  </from>
                  <to>
                    <xdr:col>6</xdr:col>
                    <xdr:colOff>447675</xdr:colOff>
                    <xdr:row>76</xdr:row>
                    <xdr:rowOff>266700</xdr:rowOff>
                  </to>
                </anchor>
              </controlPr>
            </control>
          </mc:Choice>
        </mc:AlternateContent>
        <mc:AlternateContent xmlns:mc="http://schemas.openxmlformats.org/markup-compatibility/2006">
          <mc:Choice Requires="x14">
            <control shapeId="1782" r:id="rId398" name="Button 758">
              <controlPr defaultSize="0" print="0" autoFill="0" autoPict="0" macro="[0]!Pulsante_CANC_77_Click">
                <anchor moveWithCells="1" sizeWithCells="1">
                  <from>
                    <xdr:col>6</xdr:col>
                    <xdr:colOff>28575</xdr:colOff>
                    <xdr:row>77</xdr:row>
                    <xdr:rowOff>19050</xdr:rowOff>
                  </from>
                  <to>
                    <xdr:col>6</xdr:col>
                    <xdr:colOff>447675</xdr:colOff>
                    <xdr:row>77</xdr:row>
                    <xdr:rowOff>266700</xdr:rowOff>
                  </to>
                </anchor>
              </controlPr>
            </control>
          </mc:Choice>
        </mc:AlternateContent>
        <mc:AlternateContent xmlns:mc="http://schemas.openxmlformats.org/markup-compatibility/2006">
          <mc:Choice Requires="x14">
            <control shapeId="1783" r:id="rId399" name="Button 759">
              <controlPr defaultSize="0" print="0" autoFill="0" autoPict="0" macro="[0]!Pulsante_CANC_78_Click">
                <anchor moveWithCells="1" sizeWithCells="1">
                  <from>
                    <xdr:col>6</xdr:col>
                    <xdr:colOff>28575</xdr:colOff>
                    <xdr:row>78</xdr:row>
                    <xdr:rowOff>19050</xdr:rowOff>
                  </from>
                  <to>
                    <xdr:col>6</xdr:col>
                    <xdr:colOff>447675</xdr:colOff>
                    <xdr:row>78</xdr:row>
                    <xdr:rowOff>266700</xdr:rowOff>
                  </to>
                </anchor>
              </controlPr>
            </control>
          </mc:Choice>
        </mc:AlternateContent>
        <mc:AlternateContent xmlns:mc="http://schemas.openxmlformats.org/markup-compatibility/2006">
          <mc:Choice Requires="x14">
            <control shapeId="1784" r:id="rId400" name="Button 760">
              <controlPr defaultSize="0" print="0" autoFill="0" autoPict="0" macro="[0]!Pulsante_CANC_79_Click">
                <anchor moveWithCells="1" sizeWithCells="1">
                  <from>
                    <xdr:col>6</xdr:col>
                    <xdr:colOff>28575</xdr:colOff>
                    <xdr:row>79</xdr:row>
                    <xdr:rowOff>19050</xdr:rowOff>
                  </from>
                  <to>
                    <xdr:col>6</xdr:col>
                    <xdr:colOff>447675</xdr:colOff>
                    <xdr:row>79</xdr:row>
                    <xdr:rowOff>266700</xdr:rowOff>
                  </to>
                </anchor>
              </controlPr>
            </control>
          </mc:Choice>
        </mc:AlternateContent>
        <mc:AlternateContent xmlns:mc="http://schemas.openxmlformats.org/markup-compatibility/2006">
          <mc:Choice Requires="x14">
            <control shapeId="1785" r:id="rId401" name="Button 761">
              <controlPr defaultSize="0" print="0" autoFill="0" autoPict="0" macro="[0]!Pulsante_CANC_80_Click">
                <anchor moveWithCells="1" sizeWithCells="1">
                  <from>
                    <xdr:col>6</xdr:col>
                    <xdr:colOff>28575</xdr:colOff>
                    <xdr:row>80</xdr:row>
                    <xdr:rowOff>19050</xdr:rowOff>
                  </from>
                  <to>
                    <xdr:col>6</xdr:col>
                    <xdr:colOff>447675</xdr:colOff>
                    <xdr:row>80</xdr:row>
                    <xdr:rowOff>266700</xdr:rowOff>
                  </to>
                </anchor>
              </controlPr>
            </control>
          </mc:Choice>
        </mc:AlternateContent>
        <mc:AlternateContent xmlns:mc="http://schemas.openxmlformats.org/markup-compatibility/2006">
          <mc:Choice Requires="x14">
            <control shapeId="1786" r:id="rId402" name="Button 762">
              <controlPr defaultSize="0" print="0" autoFill="0" autoPict="0" macro="[0]!Pulsante_CANC_81_Click">
                <anchor moveWithCells="1" sizeWithCells="1">
                  <from>
                    <xdr:col>6</xdr:col>
                    <xdr:colOff>28575</xdr:colOff>
                    <xdr:row>81</xdr:row>
                    <xdr:rowOff>19050</xdr:rowOff>
                  </from>
                  <to>
                    <xdr:col>6</xdr:col>
                    <xdr:colOff>447675</xdr:colOff>
                    <xdr:row>81</xdr:row>
                    <xdr:rowOff>266700</xdr:rowOff>
                  </to>
                </anchor>
              </controlPr>
            </control>
          </mc:Choice>
        </mc:AlternateContent>
        <mc:AlternateContent xmlns:mc="http://schemas.openxmlformats.org/markup-compatibility/2006">
          <mc:Choice Requires="x14">
            <control shapeId="1787" r:id="rId403" name="Button 763">
              <controlPr defaultSize="0" print="0" autoFill="0" autoPict="0" macro="[0]!Pulsante_CANC_82_Click">
                <anchor moveWithCells="1" sizeWithCells="1">
                  <from>
                    <xdr:col>6</xdr:col>
                    <xdr:colOff>28575</xdr:colOff>
                    <xdr:row>82</xdr:row>
                    <xdr:rowOff>19050</xdr:rowOff>
                  </from>
                  <to>
                    <xdr:col>6</xdr:col>
                    <xdr:colOff>447675</xdr:colOff>
                    <xdr:row>82</xdr:row>
                    <xdr:rowOff>266700</xdr:rowOff>
                  </to>
                </anchor>
              </controlPr>
            </control>
          </mc:Choice>
        </mc:AlternateContent>
        <mc:AlternateContent xmlns:mc="http://schemas.openxmlformats.org/markup-compatibility/2006">
          <mc:Choice Requires="x14">
            <control shapeId="1788" r:id="rId404" name="Button 764">
              <controlPr defaultSize="0" print="0" autoFill="0" autoPict="0" macro="[0]!Pulsante_CANC_83_Click">
                <anchor moveWithCells="1" sizeWithCells="1">
                  <from>
                    <xdr:col>6</xdr:col>
                    <xdr:colOff>28575</xdr:colOff>
                    <xdr:row>83</xdr:row>
                    <xdr:rowOff>19050</xdr:rowOff>
                  </from>
                  <to>
                    <xdr:col>6</xdr:col>
                    <xdr:colOff>447675</xdr:colOff>
                    <xdr:row>83</xdr:row>
                    <xdr:rowOff>266700</xdr:rowOff>
                  </to>
                </anchor>
              </controlPr>
            </control>
          </mc:Choice>
        </mc:AlternateContent>
        <mc:AlternateContent xmlns:mc="http://schemas.openxmlformats.org/markup-compatibility/2006">
          <mc:Choice Requires="x14">
            <control shapeId="1789" r:id="rId405" name="Button 765">
              <controlPr defaultSize="0" print="0" autoFill="0" autoPict="0" macro="[0]!Pulsante_CANC_84_Click">
                <anchor moveWithCells="1" sizeWithCells="1">
                  <from>
                    <xdr:col>6</xdr:col>
                    <xdr:colOff>28575</xdr:colOff>
                    <xdr:row>84</xdr:row>
                    <xdr:rowOff>19050</xdr:rowOff>
                  </from>
                  <to>
                    <xdr:col>6</xdr:col>
                    <xdr:colOff>447675</xdr:colOff>
                    <xdr:row>84</xdr:row>
                    <xdr:rowOff>266700</xdr:rowOff>
                  </to>
                </anchor>
              </controlPr>
            </control>
          </mc:Choice>
        </mc:AlternateContent>
        <mc:AlternateContent xmlns:mc="http://schemas.openxmlformats.org/markup-compatibility/2006">
          <mc:Choice Requires="x14">
            <control shapeId="1790" r:id="rId406" name="Button 766">
              <controlPr defaultSize="0" print="0" autoFill="0" autoPict="0" macro="[0]!Pulsante_CANC_85_Click">
                <anchor moveWithCells="1" sizeWithCells="1">
                  <from>
                    <xdr:col>6</xdr:col>
                    <xdr:colOff>28575</xdr:colOff>
                    <xdr:row>85</xdr:row>
                    <xdr:rowOff>19050</xdr:rowOff>
                  </from>
                  <to>
                    <xdr:col>6</xdr:col>
                    <xdr:colOff>447675</xdr:colOff>
                    <xdr:row>85</xdr:row>
                    <xdr:rowOff>266700</xdr:rowOff>
                  </to>
                </anchor>
              </controlPr>
            </control>
          </mc:Choice>
        </mc:AlternateContent>
        <mc:AlternateContent xmlns:mc="http://schemas.openxmlformats.org/markup-compatibility/2006">
          <mc:Choice Requires="x14">
            <control shapeId="1791" r:id="rId407" name="Button 767">
              <controlPr defaultSize="0" print="0" autoFill="0" autoPict="0" macro="[0]!Pulsante_CANC_86_Click">
                <anchor moveWithCells="1" sizeWithCells="1">
                  <from>
                    <xdr:col>6</xdr:col>
                    <xdr:colOff>28575</xdr:colOff>
                    <xdr:row>86</xdr:row>
                    <xdr:rowOff>19050</xdr:rowOff>
                  </from>
                  <to>
                    <xdr:col>6</xdr:col>
                    <xdr:colOff>447675</xdr:colOff>
                    <xdr:row>86</xdr:row>
                    <xdr:rowOff>266700</xdr:rowOff>
                  </to>
                </anchor>
              </controlPr>
            </control>
          </mc:Choice>
        </mc:AlternateContent>
        <mc:AlternateContent xmlns:mc="http://schemas.openxmlformats.org/markup-compatibility/2006">
          <mc:Choice Requires="x14">
            <control shapeId="1792" r:id="rId408" name="Button 768">
              <controlPr defaultSize="0" print="0" autoFill="0" autoPict="0" macro="[0]!Pulsante_CANC_87_Click">
                <anchor moveWithCells="1" sizeWithCells="1">
                  <from>
                    <xdr:col>6</xdr:col>
                    <xdr:colOff>28575</xdr:colOff>
                    <xdr:row>87</xdr:row>
                    <xdr:rowOff>19050</xdr:rowOff>
                  </from>
                  <to>
                    <xdr:col>6</xdr:col>
                    <xdr:colOff>447675</xdr:colOff>
                    <xdr:row>87</xdr:row>
                    <xdr:rowOff>266700</xdr:rowOff>
                  </to>
                </anchor>
              </controlPr>
            </control>
          </mc:Choice>
        </mc:AlternateContent>
        <mc:AlternateContent xmlns:mc="http://schemas.openxmlformats.org/markup-compatibility/2006">
          <mc:Choice Requires="x14">
            <control shapeId="1793" r:id="rId409" name="Button 769">
              <controlPr defaultSize="0" print="0" autoFill="0" autoPict="0" macro="[0]!Pulsante_CANC_88_Click">
                <anchor moveWithCells="1" sizeWithCells="1">
                  <from>
                    <xdr:col>6</xdr:col>
                    <xdr:colOff>28575</xdr:colOff>
                    <xdr:row>88</xdr:row>
                    <xdr:rowOff>19050</xdr:rowOff>
                  </from>
                  <to>
                    <xdr:col>6</xdr:col>
                    <xdr:colOff>447675</xdr:colOff>
                    <xdr:row>88</xdr:row>
                    <xdr:rowOff>266700</xdr:rowOff>
                  </to>
                </anchor>
              </controlPr>
            </control>
          </mc:Choice>
        </mc:AlternateContent>
        <mc:AlternateContent xmlns:mc="http://schemas.openxmlformats.org/markup-compatibility/2006">
          <mc:Choice Requires="x14">
            <control shapeId="1794" r:id="rId410" name="Button 770">
              <controlPr defaultSize="0" print="0" autoFill="0" autoPict="0" macro="[0]!Pulsante_CANC_89_Click">
                <anchor moveWithCells="1" sizeWithCells="1">
                  <from>
                    <xdr:col>6</xdr:col>
                    <xdr:colOff>28575</xdr:colOff>
                    <xdr:row>89</xdr:row>
                    <xdr:rowOff>19050</xdr:rowOff>
                  </from>
                  <to>
                    <xdr:col>6</xdr:col>
                    <xdr:colOff>447675</xdr:colOff>
                    <xdr:row>89</xdr:row>
                    <xdr:rowOff>266700</xdr:rowOff>
                  </to>
                </anchor>
              </controlPr>
            </control>
          </mc:Choice>
        </mc:AlternateContent>
        <mc:AlternateContent xmlns:mc="http://schemas.openxmlformats.org/markup-compatibility/2006">
          <mc:Choice Requires="x14">
            <control shapeId="1795" r:id="rId411" name="Button 771">
              <controlPr defaultSize="0" print="0" autoFill="0" autoPict="0" macro="[0]!Pulsante_CANC_90_Click">
                <anchor moveWithCells="1" sizeWithCells="1">
                  <from>
                    <xdr:col>6</xdr:col>
                    <xdr:colOff>28575</xdr:colOff>
                    <xdr:row>90</xdr:row>
                    <xdr:rowOff>19050</xdr:rowOff>
                  </from>
                  <to>
                    <xdr:col>6</xdr:col>
                    <xdr:colOff>447675</xdr:colOff>
                    <xdr:row>90</xdr:row>
                    <xdr:rowOff>266700</xdr:rowOff>
                  </to>
                </anchor>
              </controlPr>
            </control>
          </mc:Choice>
        </mc:AlternateContent>
        <mc:AlternateContent xmlns:mc="http://schemas.openxmlformats.org/markup-compatibility/2006">
          <mc:Choice Requires="x14">
            <control shapeId="1796" r:id="rId412" name="Button 772">
              <controlPr defaultSize="0" print="0" autoFill="0" autoPict="0" macro="[0]!Pulsante_CANC_91_Click">
                <anchor moveWithCells="1" sizeWithCells="1">
                  <from>
                    <xdr:col>6</xdr:col>
                    <xdr:colOff>28575</xdr:colOff>
                    <xdr:row>91</xdr:row>
                    <xdr:rowOff>19050</xdr:rowOff>
                  </from>
                  <to>
                    <xdr:col>6</xdr:col>
                    <xdr:colOff>447675</xdr:colOff>
                    <xdr:row>91</xdr:row>
                    <xdr:rowOff>266700</xdr:rowOff>
                  </to>
                </anchor>
              </controlPr>
            </control>
          </mc:Choice>
        </mc:AlternateContent>
        <mc:AlternateContent xmlns:mc="http://schemas.openxmlformats.org/markup-compatibility/2006">
          <mc:Choice Requires="x14">
            <control shapeId="1797" r:id="rId413" name="Button 773">
              <controlPr defaultSize="0" print="0" autoFill="0" autoPict="0" macro="[0]!Pulsante_CANC_92_Click">
                <anchor moveWithCells="1" sizeWithCells="1">
                  <from>
                    <xdr:col>6</xdr:col>
                    <xdr:colOff>28575</xdr:colOff>
                    <xdr:row>92</xdr:row>
                    <xdr:rowOff>19050</xdr:rowOff>
                  </from>
                  <to>
                    <xdr:col>6</xdr:col>
                    <xdr:colOff>447675</xdr:colOff>
                    <xdr:row>92</xdr:row>
                    <xdr:rowOff>266700</xdr:rowOff>
                  </to>
                </anchor>
              </controlPr>
            </control>
          </mc:Choice>
        </mc:AlternateContent>
        <mc:AlternateContent xmlns:mc="http://schemas.openxmlformats.org/markup-compatibility/2006">
          <mc:Choice Requires="x14">
            <control shapeId="1798" r:id="rId414" name="Button 774">
              <controlPr defaultSize="0" print="0" autoFill="0" autoPict="0" macro="[0]!Pulsante_CANC_93_Click">
                <anchor moveWithCells="1" sizeWithCells="1">
                  <from>
                    <xdr:col>6</xdr:col>
                    <xdr:colOff>28575</xdr:colOff>
                    <xdr:row>93</xdr:row>
                    <xdr:rowOff>19050</xdr:rowOff>
                  </from>
                  <to>
                    <xdr:col>6</xdr:col>
                    <xdr:colOff>447675</xdr:colOff>
                    <xdr:row>93</xdr:row>
                    <xdr:rowOff>266700</xdr:rowOff>
                  </to>
                </anchor>
              </controlPr>
            </control>
          </mc:Choice>
        </mc:AlternateContent>
        <mc:AlternateContent xmlns:mc="http://schemas.openxmlformats.org/markup-compatibility/2006">
          <mc:Choice Requires="x14">
            <control shapeId="1799" r:id="rId415" name="Button 775">
              <controlPr defaultSize="0" print="0" autoFill="0" autoPict="0" macro="[0]!Pulsante_CANC_94_Click">
                <anchor moveWithCells="1" sizeWithCells="1">
                  <from>
                    <xdr:col>6</xdr:col>
                    <xdr:colOff>28575</xdr:colOff>
                    <xdr:row>94</xdr:row>
                    <xdr:rowOff>19050</xdr:rowOff>
                  </from>
                  <to>
                    <xdr:col>6</xdr:col>
                    <xdr:colOff>447675</xdr:colOff>
                    <xdr:row>94</xdr:row>
                    <xdr:rowOff>266700</xdr:rowOff>
                  </to>
                </anchor>
              </controlPr>
            </control>
          </mc:Choice>
        </mc:AlternateContent>
        <mc:AlternateContent xmlns:mc="http://schemas.openxmlformats.org/markup-compatibility/2006">
          <mc:Choice Requires="x14">
            <control shapeId="1800" r:id="rId416" name="Button 776">
              <controlPr defaultSize="0" print="0" autoFill="0" autoPict="0" macro="[0]!Pulsante_CANC_95_Click">
                <anchor moveWithCells="1" sizeWithCells="1">
                  <from>
                    <xdr:col>6</xdr:col>
                    <xdr:colOff>28575</xdr:colOff>
                    <xdr:row>95</xdr:row>
                    <xdr:rowOff>19050</xdr:rowOff>
                  </from>
                  <to>
                    <xdr:col>6</xdr:col>
                    <xdr:colOff>447675</xdr:colOff>
                    <xdr:row>95</xdr:row>
                    <xdr:rowOff>266700</xdr:rowOff>
                  </to>
                </anchor>
              </controlPr>
            </control>
          </mc:Choice>
        </mc:AlternateContent>
        <mc:AlternateContent xmlns:mc="http://schemas.openxmlformats.org/markup-compatibility/2006">
          <mc:Choice Requires="x14">
            <control shapeId="1801" r:id="rId417" name="Button 777">
              <controlPr defaultSize="0" print="0" autoFill="0" autoPict="0" macro="[0]!Pulsante_CANC_96_Click">
                <anchor moveWithCells="1" sizeWithCells="1">
                  <from>
                    <xdr:col>6</xdr:col>
                    <xdr:colOff>28575</xdr:colOff>
                    <xdr:row>96</xdr:row>
                    <xdr:rowOff>19050</xdr:rowOff>
                  </from>
                  <to>
                    <xdr:col>6</xdr:col>
                    <xdr:colOff>447675</xdr:colOff>
                    <xdr:row>96</xdr:row>
                    <xdr:rowOff>266700</xdr:rowOff>
                  </to>
                </anchor>
              </controlPr>
            </control>
          </mc:Choice>
        </mc:AlternateContent>
        <mc:AlternateContent xmlns:mc="http://schemas.openxmlformats.org/markup-compatibility/2006">
          <mc:Choice Requires="x14">
            <control shapeId="1802" r:id="rId418" name="Button 778">
              <controlPr defaultSize="0" print="0" autoFill="0" autoPict="0" macro="[0]!Pulsante_CANC_97_Click">
                <anchor moveWithCells="1" sizeWithCells="1">
                  <from>
                    <xdr:col>6</xdr:col>
                    <xdr:colOff>28575</xdr:colOff>
                    <xdr:row>97</xdr:row>
                    <xdr:rowOff>19050</xdr:rowOff>
                  </from>
                  <to>
                    <xdr:col>6</xdr:col>
                    <xdr:colOff>447675</xdr:colOff>
                    <xdr:row>97</xdr:row>
                    <xdr:rowOff>266700</xdr:rowOff>
                  </to>
                </anchor>
              </controlPr>
            </control>
          </mc:Choice>
        </mc:AlternateContent>
        <mc:AlternateContent xmlns:mc="http://schemas.openxmlformats.org/markup-compatibility/2006">
          <mc:Choice Requires="x14">
            <control shapeId="1803" r:id="rId419" name="Button 779">
              <controlPr defaultSize="0" print="0" autoFill="0" autoPict="0" macro="[0]!Pulsante_CANC_98_Click">
                <anchor moveWithCells="1" sizeWithCells="1">
                  <from>
                    <xdr:col>6</xdr:col>
                    <xdr:colOff>28575</xdr:colOff>
                    <xdr:row>98</xdr:row>
                    <xdr:rowOff>19050</xdr:rowOff>
                  </from>
                  <to>
                    <xdr:col>6</xdr:col>
                    <xdr:colOff>447675</xdr:colOff>
                    <xdr:row>98</xdr:row>
                    <xdr:rowOff>266700</xdr:rowOff>
                  </to>
                </anchor>
              </controlPr>
            </control>
          </mc:Choice>
        </mc:AlternateContent>
        <mc:AlternateContent xmlns:mc="http://schemas.openxmlformats.org/markup-compatibility/2006">
          <mc:Choice Requires="x14">
            <control shapeId="1804" r:id="rId420" name="Button 780">
              <controlPr defaultSize="0" print="0" autoFill="0" autoPict="0" macro="[0]!Pulsante_CANC_99_Click">
                <anchor moveWithCells="1" sizeWithCells="1">
                  <from>
                    <xdr:col>6</xdr:col>
                    <xdr:colOff>28575</xdr:colOff>
                    <xdr:row>99</xdr:row>
                    <xdr:rowOff>19050</xdr:rowOff>
                  </from>
                  <to>
                    <xdr:col>6</xdr:col>
                    <xdr:colOff>447675</xdr:colOff>
                    <xdr:row>99</xdr:row>
                    <xdr:rowOff>266700</xdr:rowOff>
                  </to>
                </anchor>
              </controlPr>
            </control>
          </mc:Choice>
        </mc:AlternateContent>
        <mc:AlternateContent xmlns:mc="http://schemas.openxmlformats.org/markup-compatibility/2006">
          <mc:Choice Requires="x14">
            <control shapeId="1805" r:id="rId421" name="Button 781">
              <controlPr defaultSize="0" print="0" autoFill="0" autoPict="0" macro="[0]!Pulsante_CANC_100_Click">
                <anchor moveWithCells="1" sizeWithCells="1">
                  <from>
                    <xdr:col>6</xdr:col>
                    <xdr:colOff>28575</xdr:colOff>
                    <xdr:row>100</xdr:row>
                    <xdr:rowOff>19050</xdr:rowOff>
                  </from>
                  <to>
                    <xdr:col>6</xdr:col>
                    <xdr:colOff>447675</xdr:colOff>
                    <xdr:row>100</xdr:row>
                    <xdr:rowOff>266700</xdr:rowOff>
                  </to>
                </anchor>
              </controlPr>
            </control>
          </mc:Choice>
        </mc:AlternateContent>
        <mc:AlternateContent xmlns:mc="http://schemas.openxmlformats.org/markup-compatibility/2006">
          <mc:Choice Requires="x14">
            <control shapeId="1806" r:id="rId422" name="Button 782">
              <controlPr defaultSize="0" print="0" autoFill="0" autoPict="0" macro="[0]!Pulsante_CANC_101_Click">
                <anchor moveWithCells="1" sizeWithCells="1">
                  <from>
                    <xdr:col>6</xdr:col>
                    <xdr:colOff>28575</xdr:colOff>
                    <xdr:row>101</xdr:row>
                    <xdr:rowOff>19050</xdr:rowOff>
                  </from>
                  <to>
                    <xdr:col>6</xdr:col>
                    <xdr:colOff>447675</xdr:colOff>
                    <xdr:row>101</xdr:row>
                    <xdr:rowOff>266700</xdr:rowOff>
                  </to>
                </anchor>
              </controlPr>
            </control>
          </mc:Choice>
        </mc:AlternateContent>
        <mc:AlternateContent xmlns:mc="http://schemas.openxmlformats.org/markup-compatibility/2006">
          <mc:Choice Requires="x14">
            <control shapeId="1807" r:id="rId423" name="Button 783">
              <controlPr defaultSize="0" print="0" autoFill="0" autoPict="0" macro="[0]!Pulsante_CANC_102_Click">
                <anchor moveWithCells="1" sizeWithCells="1">
                  <from>
                    <xdr:col>6</xdr:col>
                    <xdr:colOff>28575</xdr:colOff>
                    <xdr:row>102</xdr:row>
                    <xdr:rowOff>19050</xdr:rowOff>
                  </from>
                  <to>
                    <xdr:col>6</xdr:col>
                    <xdr:colOff>447675</xdr:colOff>
                    <xdr:row>102</xdr:row>
                    <xdr:rowOff>266700</xdr:rowOff>
                  </to>
                </anchor>
              </controlPr>
            </control>
          </mc:Choice>
        </mc:AlternateContent>
        <mc:AlternateContent xmlns:mc="http://schemas.openxmlformats.org/markup-compatibility/2006">
          <mc:Choice Requires="x14">
            <control shapeId="1808" r:id="rId424" name="Button 784">
              <controlPr defaultSize="0" print="0" autoFill="0" autoPict="0" macro="[0]!Pulsante_CANC_103_Click">
                <anchor moveWithCells="1" sizeWithCells="1">
                  <from>
                    <xdr:col>6</xdr:col>
                    <xdr:colOff>28575</xdr:colOff>
                    <xdr:row>103</xdr:row>
                    <xdr:rowOff>19050</xdr:rowOff>
                  </from>
                  <to>
                    <xdr:col>6</xdr:col>
                    <xdr:colOff>447675</xdr:colOff>
                    <xdr:row>103</xdr:row>
                    <xdr:rowOff>266700</xdr:rowOff>
                  </to>
                </anchor>
              </controlPr>
            </control>
          </mc:Choice>
        </mc:AlternateContent>
        <mc:AlternateContent xmlns:mc="http://schemas.openxmlformats.org/markup-compatibility/2006">
          <mc:Choice Requires="x14">
            <control shapeId="1809" r:id="rId425" name="Button 785">
              <controlPr defaultSize="0" print="0" autoFill="0" autoPict="0" macro="[0]!Pulsante_CANC_104_Click">
                <anchor moveWithCells="1" sizeWithCells="1">
                  <from>
                    <xdr:col>6</xdr:col>
                    <xdr:colOff>28575</xdr:colOff>
                    <xdr:row>104</xdr:row>
                    <xdr:rowOff>19050</xdr:rowOff>
                  </from>
                  <to>
                    <xdr:col>6</xdr:col>
                    <xdr:colOff>447675</xdr:colOff>
                    <xdr:row>104</xdr:row>
                    <xdr:rowOff>266700</xdr:rowOff>
                  </to>
                </anchor>
              </controlPr>
            </control>
          </mc:Choice>
        </mc:AlternateContent>
        <mc:AlternateContent xmlns:mc="http://schemas.openxmlformats.org/markup-compatibility/2006">
          <mc:Choice Requires="x14">
            <control shapeId="1810" r:id="rId426" name="Button 786">
              <controlPr defaultSize="0" print="0" autoFill="0" autoPict="0" macro="[0]!Pulsante_CANC_105_Click">
                <anchor moveWithCells="1" sizeWithCells="1">
                  <from>
                    <xdr:col>6</xdr:col>
                    <xdr:colOff>28575</xdr:colOff>
                    <xdr:row>105</xdr:row>
                    <xdr:rowOff>19050</xdr:rowOff>
                  </from>
                  <to>
                    <xdr:col>6</xdr:col>
                    <xdr:colOff>447675</xdr:colOff>
                    <xdr:row>105</xdr:row>
                    <xdr:rowOff>266700</xdr:rowOff>
                  </to>
                </anchor>
              </controlPr>
            </control>
          </mc:Choice>
        </mc:AlternateContent>
        <mc:AlternateContent xmlns:mc="http://schemas.openxmlformats.org/markup-compatibility/2006">
          <mc:Choice Requires="x14">
            <control shapeId="1811" r:id="rId427" name="Button 787">
              <controlPr defaultSize="0" print="0" autoFill="0" autoPict="0" macro="[0]!Pulsante_CANC_106_Click">
                <anchor moveWithCells="1" sizeWithCells="1">
                  <from>
                    <xdr:col>6</xdr:col>
                    <xdr:colOff>28575</xdr:colOff>
                    <xdr:row>106</xdr:row>
                    <xdr:rowOff>19050</xdr:rowOff>
                  </from>
                  <to>
                    <xdr:col>6</xdr:col>
                    <xdr:colOff>447675</xdr:colOff>
                    <xdr:row>106</xdr:row>
                    <xdr:rowOff>266700</xdr:rowOff>
                  </to>
                </anchor>
              </controlPr>
            </control>
          </mc:Choice>
        </mc:AlternateContent>
        <mc:AlternateContent xmlns:mc="http://schemas.openxmlformats.org/markup-compatibility/2006">
          <mc:Choice Requires="x14">
            <control shapeId="1812" r:id="rId428" name="Button 788">
              <controlPr defaultSize="0" print="0" autoFill="0" autoPict="0" macro="[0]!Pulsante_CANC_107_Click">
                <anchor moveWithCells="1" sizeWithCells="1">
                  <from>
                    <xdr:col>6</xdr:col>
                    <xdr:colOff>28575</xdr:colOff>
                    <xdr:row>107</xdr:row>
                    <xdr:rowOff>19050</xdr:rowOff>
                  </from>
                  <to>
                    <xdr:col>6</xdr:col>
                    <xdr:colOff>447675</xdr:colOff>
                    <xdr:row>107</xdr:row>
                    <xdr:rowOff>266700</xdr:rowOff>
                  </to>
                </anchor>
              </controlPr>
            </control>
          </mc:Choice>
        </mc:AlternateContent>
        <mc:AlternateContent xmlns:mc="http://schemas.openxmlformats.org/markup-compatibility/2006">
          <mc:Choice Requires="x14">
            <control shapeId="1813" r:id="rId429" name="Button 789">
              <controlPr defaultSize="0" print="0" autoFill="0" autoPict="0" macro="[0]!Pulsante_CANC_108_Click">
                <anchor moveWithCells="1" sizeWithCells="1">
                  <from>
                    <xdr:col>6</xdr:col>
                    <xdr:colOff>28575</xdr:colOff>
                    <xdr:row>108</xdr:row>
                    <xdr:rowOff>19050</xdr:rowOff>
                  </from>
                  <to>
                    <xdr:col>6</xdr:col>
                    <xdr:colOff>447675</xdr:colOff>
                    <xdr:row>108</xdr:row>
                    <xdr:rowOff>266700</xdr:rowOff>
                  </to>
                </anchor>
              </controlPr>
            </control>
          </mc:Choice>
        </mc:AlternateContent>
        <mc:AlternateContent xmlns:mc="http://schemas.openxmlformats.org/markup-compatibility/2006">
          <mc:Choice Requires="x14">
            <control shapeId="1814" r:id="rId430" name="Button 790">
              <controlPr defaultSize="0" print="0" autoFill="0" autoPict="0" macro="[0]!Pulsante_CANC_109_Click">
                <anchor moveWithCells="1" sizeWithCells="1">
                  <from>
                    <xdr:col>6</xdr:col>
                    <xdr:colOff>28575</xdr:colOff>
                    <xdr:row>109</xdr:row>
                    <xdr:rowOff>19050</xdr:rowOff>
                  </from>
                  <to>
                    <xdr:col>6</xdr:col>
                    <xdr:colOff>447675</xdr:colOff>
                    <xdr:row>109</xdr:row>
                    <xdr:rowOff>266700</xdr:rowOff>
                  </to>
                </anchor>
              </controlPr>
            </control>
          </mc:Choice>
        </mc:AlternateContent>
        <mc:AlternateContent xmlns:mc="http://schemas.openxmlformats.org/markup-compatibility/2006">
          <mc:Choice Requires="x14">
            <control shapeId="1815" r:id="rId431" name="Button 791">
              <controlPr defaultSize="0" print="0" autoFill="0" autoPict="0" macro="[0]!Pulsante_CANC_110_Click">
                <anchor moveWithCells="1" sizeWithCells="1">
                  <from>
                    <xdr:col>6</xdr:col>
                    <xdr:colOff>28575</xdr:colOff>
                    <xdr:row>110</xdr:row>
                    <xdr:rowOff>19050</xdr:rowOff>
                  </from>
                  <to>
                    <xdr:col>6</xdr:col>
                    <xdr:colOff>447675</xdr:colOff>
                    <xdr:row>110</xdr:row>
                    <xdr:rowOff>266700</xdr:rowOff>
                  </to>
                </anchor>
              </controlPr>
            </control>
          </mc:Choice>
        </mc:AlternateContent>
        <mc:AlternateContent xmlns:mc="http://schemas.openxmlformats.org/markup-compatibility/2006">
          <mc:Choice Requires="x14">
            <control shapeId="1816" r:id="rId432" name="Button 792">
              <controlPr defaultSize="0" print="0" autoFill="0" autoPict="0" macro="[0]!Pulsante_CANC_111_Click">
                <anchor moveWithCells="1" sizeWithCells="1">
                  <from>
                    <xdr:col>6</xdr:col>
                    <xdr:colOff>28575</xdr:colOff>
                    <xdr:row>111</xdr:row>
                    <xdr:rowOff>19050</xdr:rowOff>
                  </from>
                  <to>
                    <xdr:col>6</xdr:col>
                    <xdr:colOff>447675</xdr:colOff>
                    <xdr:row>111</xdr:row>
                    <xdr:rowOff>266700</xdr:rowOff>
                  </to>
                </anchor>
              </controlPr>
            </control>
          </mc:Choice>
        </mc:AlternateContent>
        <mc:AlternateContent xmlns:mc="http://schemas.openxmlformats.org/markup-compatibility/2006">
          <mc:Choice Requires="x14">
            <control shapeId="1817" r:id="rId433" name="Button 793">
              <controlPr defaultSize="0" print="0" autoFill="0" autoPict="0" macro="[0]!Pulsante_CANC_112_Click">
                <anchor moveWithCells="1" sizeWithCells="1">
                  <from>
                    <xdr:col>6</xdr:col>
                    <xdr:colOff>28575</xdr:colOff>
                    <xdr:row>112</xdr:row>
                    <xdr:rowOff>19050</xdr:rowOff>
                  </from>
                  <to>
                    <xdr:col>6</xdr:col>
                    <xdr:colOff>447675</xdr:colOff>
                    <xdr:row>112</xdr:row>
                    <xdr:rowOff>266700</xdr:rowOff>
                  </to>
                </anchor>
              </controlPr>
            </control>
          </mc:Choice>
        </mc:AlternateContent>
        <mc:AlternateContent xmlns:mc="http://schemas.openxmlformats.org/markup-compatibility/2006">
          <mc:Choice Requires="x14">
            <control shapeId="1818" r:id="rId434" name="Button 794">
              <controlPr defaultSize="0" print="0" autoFill="0" autoPict="0" macro="[0]!Pulsante_CANC_113_Click">
                <anchor moveWithCells="1" sizeWithCells="1">
                  <from>
                    <xdr:col>6</xdr:col>
                    <xdr:colOff>28575</xdr:colOff>
                    <xdr:row>113</xdr:row>
                    <xdr:rowOff>19050</xdr:rowOff>
                  </from>
                  <to>
                    <xdr:col>6</xdr:col>
                    <xdr:colOff>447675</xdr:colOff>
                    <xdr:row>113</xdr:row>
                    <xdr:rowOff>266700</xdr:rowOff>
                  </to>
                </anchor>
              </controlPr>
            </control>
          </mc:Choice>
        </mc:AlternateContent>
        <mc:AlternateContent xmlns:mc="http://schemas.openxmlformats.org/markup-compatibility/2006">
          <mc:Choice Requires="x14">
            <control shapeId="1819" r:id="rId435" name="Button 795">
              <controlPr defaultSize="0" print="0" autoFill="0" autoPict="0" macro="[0]!Pulsante_CANC_114_Click">
                <anchor moveWithCells="1" sizeWithCells="1">
                  <from>
                    <xdr:col>6</xdr:col>
                    <xdr:colOff>28575</xdr:colOff>
                    <xdr:row>114</xdr:row>
                    <xdr:rowOff>19050</xdr:rowOff>
                  </from>
                  <to>
                    <xdr:col>6</xdr:col>
                    <xdr:colOff>447675</xdr:colOff>
                    <xdr:row>114</xdr:row>
                    <xdr:rowOff>266700</xdr:rowOff>
                  </to>
                </anchor>
              </controlPr>
            </control>
          </mc:Choice>
        </mc:AlternateContent>
        <mc:AlternateContent xmlns:mc="http://schemas.openxmlformats.org/markup-compatibility/2006">
          <mc:Choice Requires="x14">
            <control shapeId="1820" r:id="rId436" name="Button 796">
              <controlPr defaultSize="0" print="0" autoFill="0" autoPict="0" macro="[0]!Pulsante_CANC_115_Click">
                <anchor moveWithCells="1" sizeWithCells="1">
                  <from>
                    <xdr:col>6</xdr:col>
                    <xdr:colOff>28575</xdr:colOff>
                    <xdr:row>115</xdr:row>
                    <xdr:rowOff>19050</xdr:rowOff>
                  </from>
                  <to>
                    <xdr:col>6</xdr:col>
                    <xdr:colOff>447675</xdr:colOff>
                    <xdr:row>115</xdr:row>
                    <xdr:rowOff>266700</xdr:rowOff>
                  </to>
                </anchor>
              </controlPr>
            </control>
          </mc:Choice>
        </mc:AlternateContent>
        <mc:AlternateContent xmlns:mc="http://schemas.openxmlformats.org/markup-compatibility/2006">
          <mc:Choice Requires="x14">
            <control shapeId="1821" r:id="rId437" name="Button 797">
              <controlPr defaultSize="0" print="0" autoFill="0" autoPict="0" macro="[0]!Pulsante_CANC_116_Click">
                <anchor moveWithCells="1" sizeWithCells="1">
                  <from>
                    <xdr:col>6</xdr:col>
                    <xdr:colOff>28575</xdr:colOff>
                    <xdr:row>116</xdr:row>
                    <xdr:rowOff>19050</xdr:rowOff>
                  </from>
                  <to>
                    <xdr:col>6</xdr:col>
                    <xdr:colOff>447675</xdr:colOff>
                    <xdr:row>116</xdr:row>
                    <xdr:rowOff>266700</xdr:rowOff>
                  </to>
                </anchor>
              </controlPr>
            </control>
          </mc:Choice>
        </mc:AlternateContent>
        <mc:AlternateContent xmlns:mc="http://schemas.openxmlformats.org/markup-compatibility/2006">
          <mc:Choice Requires="x14">
            <control shapeId="1822" r:id="rId438" name="Button 798">
              <controlPr defaultSize="0" print="0" autoFill="0" autoPict="0" macro="[0]!Pulsante_CANC_117_Click">
                <anchor moveWithCells="1" sizeWithCells="1">
                  <from>
                    <xdr:col>6</xdr:col>
                    <xdr:colOff>28575</xdr:colOff>
                    <xdr:row>117</xdr:row>
                    <xdr:rowOff>19050</xdr:rowOff>
                  </from>
                  <to>
                    <xdr:col>6</xdr:col>
                    <xdr:colOff>447675</xdr:colOff>
                    <xdr:row>117</xdr:row>
                    <xdr:rowOff>266700</xdr:rowOff>
                  </to>
                </anchor>
              </controlPr>
            </control>
          </mc:Choice>
        </mc:AlternateContent>
        <mc:AlternateContent xmlns:mc="http://schemas.openxmlformats.org/markup-compatibility/2006">
          <mc:Choice Requires="x14">
            <control shapeId="1823" r:id="rId439" name="Button 799">
              <controlPr defaultSize="0" print="0" autoFill="0" autoPict="0" macro="[0]!Pulsante_CANC_118_Click">
                <anchor moveWithCells="1" sizeWithCells="1">
                  <from>
                    <xdr:col>6</xdr:col>
                    <xdr:colOff>28575</xdr:colOff>
                    <xdr:row>118</xdr:row>
                    <xdr:rowOff>19050</xdr:rowOff>
                  </from>
                  <to>
                    <xdr:col>6</xdr:col>
                    <xdr:colOff>447675</xdr:colOff>
                    <xdr:row>118</xdr:row>
                    <xdr:rowOff>266700</xdr:rowOff>
                  </to>
                </anchor>
              </controlPr>
            </control>
          </mc:Choice>
        </mc:AlternateContent>
        <mc:AlternateContent xmlns:mc="http://schemas.openxmlformats.org/markup-compatibility/2006">
          <mc:Choice Requires="x14">
            <control shapeId="1824" r:id="rId440" name="Button 800">
              <controlPr defaultSize="0" print="0" autoFill="0" autoPict="0" macro="[0]!Pulsante_CANC_119_Click">
                <anchor moveWithCells="1" sizeWithCells="1">
                  <from>
                    <xdr:col>6</xdr:col>
                    <xdr:colOff>28575</xdr:colOff>
                    <xdr:row>119</xdr:row>
                    <xdr:rowOff>19050</xdr:rowOff>
                  </from>
                  <to>
                    <xdr:col>6</xdr:col>
                    <xdr:colOff>447675</xdr:colOff>
                    <xdr:row>119</xdr:row>
                    <xdr:rowOff>266700</xdr:rowOff>
                  </to>
                </anchor>
              </controlPr>
            </control>
          </mc:Choice>
        </mc:AlternateContent>
        <mc:AlternateContent xmlns:mc="http://schemas.openxmlformats.org/markup-compatibility/2006">
          <mc:Choice Requires="x14">
            <control shapeId="1825" r:id="rId441" name="Button 801">
              <controlPr defaultSize="0" print="0" autoFill="0" autoPict="0" macro="[0]!Pulsante_CANC_120_Click">
                <anchor moveWithCells="1" sizeWithCells="1">
                  <from>
                    <xdr:col>6</xdr:col>
                    <xdr:colOff>28575</xdr:colOff>
                    <xdr:row>120</xdr:row>
                    <xdr:rowOff>19050</xdr:rowOff>
                  </from>
                  <to>
                    <xdr:col>6</xdr:col>
                    <xdr:colOff>447675</xdr:colOff>
                    <xdr:row>120</xdr:row>
                    <xdr:rowOff>266700</xdr:rowOff>
                  </to>
                </anchor>
              </controlPr>
            </control>
          </mc:Choice>
        </mc:AlternateContent>
        <mc:AlternateContent xmlns:mc="http://schemas.openxmlformats.org/markup-compatibility/2006">
          <mc:Choice Requires="x14">
            <control shapeId="1826" r:id="rId442" name="Button 802">
              <controlPr defaultSize="0" print="0" autoFill="0" autoPict="0" macro="[0]!Pulsante_CANC_121_Click">
                <anchor moveWithCells="1" sizeWithCells="1">
                  <from>
                    <xdr:col>6</xdr:col>
                    <xdr:colOff>28575</xdr:colOff>
                    <xdr:row>121</xdr:row>
                    <xdr:rowOff>19050</xdr:rowOff>
                  </from>
                  <to>
                    <xdr:col>6</xdr:col>
                    <xdr:colOff>447675</xdr:colOff>
                    <xdr:row>121</xdr:row>
                    <xdr:rowOff>266700</xdr:rowOff>
                  </to>
                </anchor>
              </controlPr>
            </control>
          </mc:Choice>
        </mc:AlternateContent>
        <mc:AlternateContent xmlns:mc="http://schemas.openxmlformats.org/markup-compatibility/2006">
          <mc:Choice Requires="x14">
            <control shapeId="1827" r:id="rId443" name="Button 803">
              <controlPr defaultSize="0" print="0" autoFill="0" autoPict="0" macro="[0]!Pulsante_CANC_122_Click">
                <anchor moveWithCells="1" sizeWithCells="1">
                  <from>
                    <xdr:col>6</xdr:col>
                    <xdr:colOff>28575</xdr:colOff>
                    <xdr:row>122</xdr:row>
                    <xdr:rowOff>19050</xdr:rowOff>
                  </from>
                  <to>
                    <xdr:col>6</xdr:col>
                    <xdr:colOff>447675</xdr:colOff>
                    <xdr:row>122</xdr:row>
                    <xdr:rowOff>266700</xdr:rowOff>
                  </to>
                </anchor>
              </controlPr>
            </control>
          </mc:Choice>
        </mc:AlternateContent>
        <mc:AlternateContent xmlns:mc="http://schemas.openxmlformats.org/markup-compatibility/2006">
          <mc:Choice Requires="x14">
            <control shapeId="1828" r:id="rId444" name="Button 804">
              <controlPr defaultSize="0" print="0" autoFill="0" autoPict="0" macro="[0]!Pulsante_CANC_123_Click">
                <anchor moveWithCells="1" sizeWithCells="1">
                  <from>
                    <xdr:col>6</xdr:col>
                    <xdr:colOff>28575</xdr:colOff>
                    <xdr:row>123</xdr:row>
                    <xdr:rowOff>19050</xdr:rowOff>
                  </from>
                  <to>
                    <xdr:col>6</xdr:col>
                    <xdr:colOff>447675</xdr:colOff>
                    <xdr:row>123</xdr:row>
                    <xdr:rowOff>266700</xdr:rowOff>
                  </to>
                </anchor>
              </controlPr>
            </control>
          </mc:Choice>
        </mc:AlternateContent>
        <mc:AlternateContent xmlns:mc="http://schemas.openxmlformats.org/markup-compatibility/2006">
          <mc:Choice Requires="x14">
            <control shapeId="1829" r:id="rId445" name="Button 805">
              <controlPr defaultSize="0" print="0" autoFill="0" autoPict="0" macro="[0]!Pulsante_CANC_124_Click">
                <anchor moveWithCells="1" sizeWithCells="1">
                  <from>
                    <xdr:col>6</xdr:col>
                    <xdr:colOff>28575</xdr:colOff>
                    <xdr:row>124</xdr:row>
                    <xdr:rowOff>19050</xdr:rowOff>
                  </from>
                  <to>
                    <xdr:col>6</xdr:col>
                    <xdr:colOff>447675</xdr:colOff>
                    <xdr:row>124</xdr:row>
                    <xdr:rowOff>266700</xdr:rowOff>
                  </to>
                </anchor>
              </controlPr>
            </control>
          </mc:Choice>
        </mc:AlternateContent>
        <mc:AlternateContent xmlns:mc="http://schemas.openxmlformats.org/markup-compatibility/2006">
          <mc:Choice Requires="x14">
            <control shapeId="1830" r:id="rId446" name="Button 806">
              <controlPr defaultSize="0" print="0" autoFill="0" autoPict="0" macro="[0]!Pulsante_CANC_125_Click">
                <anchor moveWithCells="1" sizeWithCells="1">
                  <from>
                    <xdr:col>6</xdr:col>
                    <xdr:colOff>28575</xdr:colOff>
                    <xdr:row>125</xdr:row>
                    <xdr:rowOff>19050</xdr:rowOff>
                  </from>
                  <to>
                    <xdr:col>6</xdr:col>
                    <xdr:colOff>447675</xdr:colOff>
                    <xdr:row>125</xdr:row>
                    <xdr:rowOff>266700</xdr:rowOff>
                  </to>
                </anchor>
              </controlPr>
            </control>
          </mc:Choice>
        </mc:AlternateContent>
        <mc:AlternateContent xmlns:mc="http://schemas.openxmlformats.org/markup-compatibility/2006">
          <mc:Choice Requires="x14">
            <control shapeId="1831" r:id="rId447" name="Button 807">
              <controlPr defaultSize="0" print="0" autoFill="0" autoPict="0" macro="[0]!Pulsante_CANC_126_Click">
                <anchor moveWithCells="1" sizeWithCells="1">
                  <from>
                    <xdr:col>6</xdr:col>
                    <xdr:colOff>28575</xdr:colOff>
                    <xdr:row>126</xdr:row>
                    <xdr:rowOff>19050</xdr:rowOff>
                  </from>
                  <to>
                    <xdr:col>6</xdr:col>
                    <xdr:colOff>447675</xdr:colOff>
                    <xdr:row>126</xdr:row>
                    <xdr:rowOff>266700</xdr:rowOff>
                  </to>
                </anchor>
              </controlPr>
            </control>
          </mc:Choice>
        </mc:AlternateContent>
        <mc:AlternateContent xmlns:mc="http://schemas.openxmlformats.org/markup-compatibility/2006">
          <mc:Choice Requires="x14">
            <control shapeId="1832" r:id="rId448" name="Button 808">
              <controlPr defaultSize="0" print="0" autoFill="0" autoPict="0" macro="[0]!Pulsante_CANC_127_Click">
                <anchor moveWithCells="1" sizeWithCells="1">
                  <from>
                    <xdr:col>6</xdr:col>
                    <xdr:colOff>28575</xdr:colOff>
                    <xdr:row>127</xdr:row>
                    <xdr:rowOff>19050</xdr:rowOff>
                  </from>
                  <to>
                    <xdr:col>6</xdr:col>
                    <xdr:colOff>447675</xdr:colOff>
                    <xdr:row>127</xdr:row>
                    <xdr:rowOff>266700</xdr:rowOff>
                  </to>
                </anchor>
              </controlPr>
            </control>
          </mc:Choice>
        </mc:AlternateContent>
        <mc:AlternateContent xmlns:mc="http://schemas.openxmlformats.org/markup-compatibility/2006">
          <mc:Choice Requires="x14">
            <control shapeId="1833" r:id="rId449" name="Button 809">
              <controlPr defaultSize="0" print="0" autoFill="0" autoPict="0" macro="[0]!Pulsante_CANC_128_Click">
                <anchor moveWithCells="1" sizeWithCells="1">
                  <from>
                    <xdr:col>6</xdr:col>
                    <xdr:colOff>28575</xdr:colOff>
                    <xdr:row>128</xdr:row>
                    <xdr:rowOff>19050</xdr:rowOff>
                  </from>
                  <to>
                    <xdr:col>6</xdr:col>
                    <xdr:colOff>447675</xdr:colOff>
                    <xdr:row>128</xdr:row>
                    <xdr:rowOff>266700</xdr:rowOff>
                  </to>
                </anchor>
              </controlPr>
            </control>
          </mc:Choice>
        </mc:AlternateContent>
        <mc:AlternateContent xmlns:mc="http://schemas.openxmlformats.org/markup-compatibility/2006">
          <mc:Choice Requires="x14">
            <control shapeId="1834" r:id="rId450" name="Button 810">
              <controlPr defaultSize="0" print="0" autoFill="0" autoPict="0" macro="[0]!Pulsante_CANC_129_Click">
                <anchor moveWithCells="1" sizeWithCells="1">
                  <from>
                    <xdr:col>6</xdr:col>
                    <xdr:colOff>28575</xdr:colOff>
                    <xdr:row>129</xdr:row>
                    <xdr:rowOff>19050</xdr:rowOff>
                  </from>
                  <to>
                    <xdr:col>6</xdr:col>
                    <xdr:colOff>447675</xdr:colOff>
                    <xdr:row>129</xdr:row>
                    <xdr:rowOff>266700</xdr:rowOff>
                  </to>
                </anchor>
              </controlPr>
            </control>
          </mc:Choice>
        </mc:AlternateContent>
        <mc:AlternateContent xmlns:mc="http://schemas.openxmlformats.org/markup-compatibility/2006">
          <mc:Choice Requires="x14">
            <control shapeId="1835" r:id="rId451" name="Button 811">
              <controlPr defaultSize="0" print="0" autoFill="0" autoPict="0" macro="[0]!Pulsante_CANC_130_Click">
                <anchor moveWithCells="1" sizeWithCells="1">
                  <from>
                    <xdr:col>6</xdr:col>
                    <xdr:colOff>28575</xdr:colOff>
                    <xdr:row>130</xdr:row>
                    <xdr:rowOff>19050</xdr:rowOff>
                  </from>
                  <to>
                    <xdr:col>6</xdr:col>
                    <xdr:colOff>447675</xdr:colOff>
                    <xdr:row>130</xdr:row>
                    <xdr:rowOff>266700</xdr:rowOff>
                  </to>
                </anchor>
              </controlPr>
            </control>
          </mc:Choice>
        </mc:AlternateContent>
        <mc:AlternateContent xmlns:mc="http://schemas.openxmlformats.org/markup-compatibility/2006">
          <mc:Choice Requires="x14">
            <control shapeId="1836" r:id="rId452" name="Button 812">
              <controlPr defaultSize="0" print="0" autoFill="0" autoPict="0" macro="[0]!Pulsante_CANC_131_Click">
                <anchor moveWithCells="1" sizeWithCells="1">
                  <from>
                    <xdr:col>6</xdr:col>
                    <xdr:colOff>28575</xdr:colOff>
                    <xdr:row>131</xdr:row>
                    <xdr:rowOff>19050</xdr:rowOff>
                  </from>
                  <to>
                    <xdr:col>6</xdr:col>
                    <xdr:colOff>447675</xdr:colOff>
                    <xdr:row>131</xdr:row>
                    <xdr:rowOff>266700</xdr:rowOff>
                  </to>
                </anchor>
              </controlPr>
            </control>
          </mc:Choice>
        </mc:AlternateContent>
        <mc:AlternateContent xmlns:mc="http://schemas.openxmlformats.org/markup-compatibility/2006">
          <mc:Choice Requires="x14">
            <control shapeId="1837" r:id="rId453" name="Button 813">
              <controlPr defaultSize="0" print="0" autoFill="0" autoPict="0" macro="[0]!Pulsante_CANC_132_Click">
                <anchor moveWithCells="1" sizeWithCells="1">
                  <from>
                    <xdr:col>6</xdr:col>
                    <xdr:colOff>28575</xdr:colOff>
                    <xdr:row>132</xdr:row>
                    <xdr:rowOff>19050</xdr:rowOff>
                  </from>
                  <to>
                    <xdr:col>6</xdr:col>
                    <xdr:colOff>447675</xdr:colOff>
                    <xdr:row>132</xdr:row>
                    <xdr:rowOff>266700</xdr:rowOff>
                  </to>
                </anchor>
              </controlPr>
            </control>
          </mc:Choice>
        </mc:AlternateContent>
        <mc:AlternateContent xmlns:mc="http://schemas.openxmlformats.org/markup-compatibility/2006">
          <mc:Choice Requires="x14">
            <control shapeId="1838" r:id="rId454" name="Button 814">
              <controlPr defaultSize="0" print="0" autoFill="0" autoPict="0" macro="[0]!Pulsante_CANC_133_Click">
                <anchor moveWithCells="1" sizeWithCells="1">
                  <from>
                    <xdr:col>6</xdr:col>
                    <xdr:colOff>28575</xdr:colOff>
                    <xdr:row>133</xdr:row>
                    <xdr:rowOff>19050</xdr:rowOff>
                  </from>
                  <to>
                    <xdr:col>6</xdr:col>
                    <xdr:colOff>447675</xdr:colOff>
                    <xdr:row>133</xdr:row>
                    <xdr:rowOff>266700</xdr:rowOff>
                  </to>
                </anchor>
              </controlPr>
            </control>
          </mc:Choice>
        </mc:AlternateContent>
        <mc:AlternateContent xmlns:mc="http://schemas.openxmlformats.org/markup-compatibility/2006">
          <mc:Choice Requires="x14">
            <control shapeId="1839" r:id="rId455" name="Button 815">
              <controlPr defaultSize="0" print="0" autoFill="0" autoPict="0" macro="[0]!Pulsante_CANC_134_Click">
                <anchor moveWithCells="1" sizeWithCells="1">
                  <from>
                    <xdr:col>6</xdr:col>
                    <xdr:colOff>28575</xdr:colOff>
                    <xdr:row>134</xdr:row>
                    <xdr:rowOff>19050</xdr:rowOff>
                  </from>
                  <to>
                    <xdr:col>6</xdr:col>
                    <xdr:colOff>447675</xdr:colOff>
                    <xdr:row>134</xdr:row>
                    <xdr:rowOff>266700</xdr:rowOff>
                  </to>
                </anchor>
              </controlPr>
            </control>
          </mc:Choice>
        </mc:AlternateContent>
        <mc:AlternateContent xmlns:mc="http://schemas.openxmlformats.org/markup-compatibility/2006">
          <mc:Choice Requires="x14">
            <control shapeId="1840" r:id="rId456" name="Button 816">
              <controlPr defaultSize="0" print="0" autoFill="0" autoPict="0" macro="[0]!Pulsante_CANC_135_Click">
                <anchor moveWithCells="1" sizeWithCells="1">
                  <from>
                    <xdr:col>6</xdr:col>
                    <xdr:colOff>28575</xdr:colOff>
                    <xdr:row>135</xdr:row>
                    <xdr:rowOff>19050</xdr:rowOff>
                  </from>
                  <to>
                    <xdr:col>6</xdr:col>
                    <xdr:colOff>447675</xdr:colOff>
                    <xdr:row>135</xdr:row>
                    <xdr:rowOff>266700</xdr:rowOff>
                  </to>
                </anchor>
              </controlPr>
            </control>
          </mc:Choice>
        </mc:AlternateContent>
        <mc:AlternateContent xmlns:mc="http://schemas.openxmlformats.org/markup-compatibility/2006">
          <mc:Choice Requires="x14">
            <control shapeId="1841" r:id="rId457" name="Button 817">
              <controlPr defaultSize="0" print="0" autoFill="0" autoPict="0" macro="[0]!Pulsante_CANC_136_Click">
                <anchor moveWithCells="1" sizeWithCells="1">
                  <from>
                    <xdr:col>6</xdr:col>
                    <xdr:colOff>28575</xdr:colOff>
                    <xdr:row>136</xdr:row>
                    <xdr:rowOff>19050</xdr:rowOff>
                  </from>
                  <to>
                    <xdr:col>6</xdr:col>
                    <xdr:colOff>447675</xdr:colOff>
                    <xdr:row>136</xdr:row>
                    <xdr:rowOff>266700</xdr:rowOff>
                  </to>
                </anchor>
              </controlPr>
            </control>
          </mc:Choice>
        </mc:AlternateContent>
        <mc:AlternateContent xmlns:mc="http://schemas.openxmlformats.org/markup-compatibility/2006">
          <mc:Choice Requires="x14">
            <control shapeId="1842" r:id="rId458" name="Button 818">
              <controlPr defaultSize="0" print="0" autoFill="0" autoPict="0" macro="[0]!Pulsante_CANC_137_Click">
                <anchor moveWithCells="1" sizeWithCells="1">
                  <from>
                    <xdr:col>6</xdr:col>
                    <xdr:colOff>28575</xdr:colOff>
                    <xdr:row>137</xdr:row>
                    <xdr:rowOff>19050</xdr:rowOff>
                  </from>
                  <to>
                    <xdr:col>6</xdr:col>
                    <xdr:colOff>447675</xdr:colOff>
                    <xdr:row>137</xdr:row>
                    <xdr:rowOff>266700</xdr:rowOff>
                  </to>
                </anchor>
              </controlPr>
            </control>
          </mc:Choice>
        </mc:AlternateContent>
        <mc:AlternateContent xmlns:mc="http://schemas.openxmlformats.org/markup-compatibility/2006">
          <mc:Choice Requires="x14">
            <control shapeId="1843" r:id="rId459" name="Button 819">
              <controlPr defaultSize="0" print="0" autoFill="0" autoPict="0" macro="[0]!Pulsante_CANC_138_Click">
                <anchor moveWithCells="1" sizeWithCells="1">
                  <from>
                    <xdr:col>6</xdr:col>
                    <xdr:colOff>28575</xdr:colOff>
                    <xdr:row>138</xdr:row>
                    <xdr:rowOff>19050</xdr:rowOff>
                  </from>
                  <to>
                    <xdr:col>6</xdr:col>
                    <xdr:colOff>447675</xdr:colOff>
                    <xdr:row>138</xdr:row>
                    <xdr:rowOff>266700</xdr:rowOff>
                  </to>
                </anchor>
              </controlPr>
            </control>
          </mc:Choice>
        </mc:AlternateContent>
        <mc:AlternateContent xmlns:mc="http://schemas.openxmlformats.org/markup-compatibility/2006">
          <mc:Choice Requires="x14">
            <control shapeId="1844" r:id="rId460" name="Button 820">
              <controlPr defaultSize="0" print="0" autoFill="0" autoPict="0" macro="[0]!Pulsante_CANC_139_Click">
                <anchor moveWithCells="1" sizeWithCells="1">
                  <from>
                    <xdr:col>6</xdr:col>
                    <xdr:colOff>28575</xdr:colOff>
                    <xdr:row>139</xdr:row>
                    <xdr:rowOff>19050</xdr:rowOff>
                  </from>
                  <to>
                    <xdr:col>6</xdr:col>
                    <xdr:colOff>447675</xdr:colOff>
                    <xdr:row>139</xdr:row>
                    <xdr:rowOff>266700</xdr:rowOff>
                  </to>
                </anchor>
              </controlPr>
            </control>
          </mc:Choice>
        </mc:AlternateContent>
        <mc:AlternateContent xmlns:mc="http://schemas.openxmlformats.org/markup-compatibility/2006">
          <mc:Choice Requires="x14">
            <control shapeId="1845" r:id="rId461" name="Button 821">
              <controlPr defaultSize="0" print="0" autoFill="0" autoPict="0" macro="[0]!Pulsante_CANC_140_Click">
                <anchor moveWithCells="1" sizeWithCells="1">
                  <from>
                    <xdr:col>6</xdr:col>
                    <xdr:colOff>28575</xdr:colOff>
                    <xdr:row>140</xdr:row>
                    <xdr:rowOff>19050</xdr:rowOff>
                  </from>
                  <to>
                    <xdr:col>6</xdr:col>
                    <xdr:colOff>447675</xdr:colOff>
                    <xdr:row>140</xdr:row>
                    <xdr:rowOff>266700</xdr:rowOff>
                  </to>
                </anchor>
              </controlPr>
            </control>
          </mc:Choice>
        </mc:AlternateContent>
        <mc:AlternateContent xmlns:mc="http://schemas.openxmlformats.org/markup-compatibility/2006">
          <mc:Choice Requires="x14">
            <control shapeId="1846" r:id="rId462" name="Button 822">
              <controlPr defaultSize="0" print="0" autoFill="0" autoPict="0" macro="[0]!Pulsante_CANC_141_Click">
                <anchor moveWithCells="1" sizeWithCells="1">
                  <from>
                    <xdr:col>6</xdr:col>
                    <xdr:colOff>28575</xdr:colOff>
                    <xdr:row>141</xdr:row>
                    <xdr:rowOff>19050</xdr:rowOff>
                  </from>
                  <to>
                    <xdr:col>6</xdr:col>
                    <xdr:colOff>447675</xdr:colOff>
                    <xdr:row>141</xdr:row>
                    <xdr:rowOff>266700</xdr:rowOff>
                  </to>
                </anchor>
              </controlPr>
            </control>
          </mc:Choice>
        </mc:AlternateContent>
        <mc:AlternateContent xmlns:mc="http://schemas.openxmlformats.org/markup-compatibility/2006">
          <mc:Choice Requires="x14">
            <control shapeId="1847" r:id="rId463" name="Button 823">
              <controlPr defaultSize="0" print="0" autoFill="0" autoPict="0" macro="[0]!Pulsante_CANC_142_Click">
                <anchor moveWithCells="1" sizeWithCells="1">
                  <from>
                    <xdr:col>6</xdr:col>
                    <xdr:colOff>28575</xdr:colOff>
                    <xdr:row>142</xdr:row>
                    <xdr:rowOff>19050</xdr:rowOff>
                  </from>
                  <to>
                    <xdr:col>6</xdr:col>
                    <xdr:colOff>447675</xdr:colOff>
                    <xdr:row>142</xdr:row>
                    <xdr:rowOff>266700</xdr:rowOff>
                  </to>
                </anchor>
              </controlPr>
            </control>
          </mc:Choice>
        </mc:AlternateContent>
        <mc:AlternateContent xmlns:mc="http://schemas.openxmlformats.org/markup-compatibility/2006">
          <mc:Choice Requires="x14">
            <control shapeId="1848" r:id="rId464" name="Button 824">
              <controlPr defaultSize="0" print="0" autoFill="0" autoPict="0" macro="[0]!Pulsante_CANC_143_Click">
                <anchor moveWithCells="1" sizeWithCells="1">
                  <from>
                    <xdr:col>6</xdr:col>
                    <xdr:colOff>28575</xdr:colOff>
                    <xdr:row>143</xdr:row>
                    <xdr:rowOff>19050</xdr:rowOff>
                  </from>
                  <to>
                    <xdr:col>6</xdr:col>
                    <xdr:colOff>447675</xdr:colOff>
                    <xdr:row>143</xdr:row>
                    <xdr:rowOff>266700</xdr:rowOff>
                  </to>
                </anchor>
              </controlPr>
            </control>
          </mc:Choice>
        </mc:AlternateContent>
        <mc:AlternateContent xmlns:mc="http://schemas.openxmlformats.org/markup-compatibility/2006">
          <mc:Choice Requires="x14">
            <control shapeId="1849" r:id="rId465" name="Button 825">
              <controlPr defaultSize="0" print="0" autoFill="0" autoPict="0" macro="[0]!Pulsante_CANC_144_Click">
                <anchor moveWithCells="1" sizeWithCells="1">
                  <from>
                    <xdr:col>6</xdr:col>
                    <xdr:colOff>28575</xdr:colOff>
                    <xdr:row>144</xdr:row>
                    <xdr:rowOff>19050</xdr:rowOff>
                  </from>
                  <to>
                    <xdr:col>6</xdr:col>
                    <xdr:colOff>447675</xdr:colOff>
                    <xdr:row>144</xdr:row>
                    <xdr:rowOff>266700</xdr:rowOff>
                  </to>
                </anchor>
              </controlPr>
            </control>
          </mc:Choice>
        </mc:AlternateContent>
        <mc:AlternateContent xmlns:mc="http://schemas.openxmlformats.org/markup-compatibility/2006">
          <mc:Choice Requires="x14">
            <control shapeId="1850" r:id="rId466" name="Button 826">
              <controlPr defaultSize="0" print="0" autoFill="0" autoPict="0" macro="[0]!Pulsante_CANC_145_Click">
                <anchor moveWithCells="1" sizeWithCells="1">
                  <from>
                    <xdr:col>6</xdr:col>
                    <xdr:colOff>28575</xdr:colOff>
                    <xdr:row>145</xdr:row>
                    <xdr:rowOff>19050</xdr:rowOff>
                  </from>
                  <to>
                    <xdr:col>6</xdr:col>
                    <xdr:colOff>447675</xdr:colOff>
                    <xdr:row>145</xdr:row>
                    <xdr:rowOff>266700</xdr:rowOff>
                  </to>
                </anchor>
              </controlPr>
            </control>
          </mc:Choice>
        </mc:AlternateContent>
        <mc:AlternateContent xmlns:mc="http://schemas.openxmlformats.org/markup-compatibility/2006">
          <mc:Choice Requires="x14">
            <control shapeId="1851" r:id="rId467" name="Button 827">
              <controlPr defaultSize="0" print="0" autoFill="0" autoPict="0" macro="[0]!Pulsante_CANC_146_Click">
                <anchor moveWithCells="1" sizeWithCells="1">
                  <from>
                    <xdr:col>6</xdr:col>
                    <xdr:colOff>28575</xdr:colOff>
                    <xdr:row>146</xdr:row>
                    <xdr:rowOff>19050</xdr:rowOff>
                  </from>
                  <to>
                    <xdr:col>6</xdr:col>
                    <xdr:colOff>447675</xdr:colOff>
                    <xdr:row>146</xdr:row>
                    <xdr:rowOff>266700</xdr:rowOff>
                  </to>
                </anchor>
              </controlPr>
            </control>
          </mc:Choice>
        </mc:AlternateContent>
        <mc:AlternateContent xmlns:mc="http://schemas.openxmlformats.org/markup-compatibility/2006">
          <mc:Choice Requires="x14">
            <control shapeId="1852" r:id="rId468" name="Button 828">
              <controlPr defaultSize="0" print="0" autoFill="0" autoPict="0" macro="[0]!Pulsante_CANC_147_Click">
                <anchor moveWithCells="1" sizeWithCells="1">
                  <from>
                    <xdr:col>6</xdr:col>
                    <xdr:colOff>28575</xdr:colOff>
                    <xdr:row>147</xdr:row>
                    <xdr:rowOff>19050</xdr:rowOff>
                  </from>
                  <to>
                    <xdr:col>6</xdr:col>
                    <xdr:colOff>447675</xdr:colOff>
                    <xdr:row>147</xdr:row>
                    <xdr:rowOff>266700</xdr:rowOff>
                  </to>
                </anchor>
              </controlPr>
            </control>
          </mc:Choice>
        </mc:AlternateContent>
        <mc:AlternateContent xmlns:mc="http://schemas.openxmlformats.org/markup-compatibility/2006">
          <mc:Choice Requires="x14">
            <control shapeId="1853" r:id="rId469" name="Button 829">
              <controlPr defaultSize="0" print="0" autoFill="0" autoPict="0" macro="[0]!Pulsante_CANC_148_Click">
                <anchor moveWithCells="1" sizeWithCells="1">
                  <from>
                    <xdr:col>6</xdr:col>
                    <xdr:colOff>28575</xdr:colOff>
                    <xdr:row>148</xdr:row>
                    <xdr:rowOff>19050</xdr:rowOff>
                  </from>
                  <to>
                    <xdr:col>6</xdr:col>
                    <xdr:colOff>447675</xdr:colOff>
                    <xdr:row>148</xdr:row>
                    <xdr:rowOff>266700</xdr:rowOff>
                  </to>
                </anchor>
              </controlPr>
            </control>
          </mc:Choice>
        </mc:AlternateContent>
        <mc:AlternateContent xmlns:mc="http://schemas.openxmlformats.org/markup-compatibility/2006">
          <mc:Choice Requires="x14">
            <control shapeId="1854" r:id="rId470" name="Button 830">
              <controlPr defaultSize="0" print="0" autoFill="0" autoPict="0" macro="[0]!Pulsante_CANC_149_Click">
                <anchor moveWithCells="1" sizeWithCells="1">
                  <from>
                    <xdr:col>6</xdr:col>
                    <xdr:colOff>28575</xdr:colOff>
                    <xdr:row>149</xdr:row>
                    <xdr:rowOff>19050</xdr:rowOff>
                  </from>
                  <to>
                    <xdr:col>6</xdr:col>
                    <xdr:colOff>447675</xdr:colOff>
                    <xdr:row>149</xdr:row>
                    <xdr:rowOff>266700</xdr:rowOff>
                  </to>
                </anchor>
              </controlPr>
            </control>
          </mc:Choice>
        </mc:AlternateContent>
        <mc:AlternateContent xmlns:mc="http://schemas.openxmlformats.org/markup-compatibility/2006">
          <mc:Choice Requires="x14">
            <control shapeId="1855" r:id="rId471" name="Button 831">
              <controlPr defaultSize="0" print="0" autoFill="0" autoPict="0" macro="[0]!Pulsante_CANC_150_Click">
                <anchor moveWithCells="1" sizeWithCells="1">
                  <from>
                    <xdr:col>6</xdr:col>
                    <xdr:colOff>28575</xdr:colOff>
                    <xdr:row>150</xdr:row>
                    <xdr:rowOff>19050</xdr:rowOff>
                  </from>
                  <to>
                    <xdr:col>6</xdr:col>
                    <xdr:colOff>447675</xdr:colOff>
                    <xdr:row>150</xdr:row>
                    <xdr:rowOff>266700</xdr:rowOff>
                  </to>
                </anchor>
              </controlPr>
            </control>
          </mc:Choice>
        </mc:AlternateContent>
        <mc:AlternateContent xmlns:mc="http://schemas.openxmlformats.org/markup-compatibility/2006">
          <mc:Choice Requires="x14">
            <control shapeId="1856" r:id="rId472" name="Button 832">
              <controlPr defaultSize="0" print="0" autoFill="0" autoPict="0" macro="[0]!Pulsante_CANC_151_Click">
                <anchor moveWithCells="1" sizeWithCells="1">
                  <from>
                    <xdr:col>6</xdr:col>
                    <xdr:colOff>28575</xdr:colOff>
                    <xdr:row>151</xdr:row>
                    <xdr:rowOff>19050</xdr:rowOff>
                  </from>
                  <to>
                    <xdr:col>6</xdr:col>
                    <xdr:colOff>447675</xdr:colOff>
                    <xdr:row>151</xdr:row>
                    <xdr:rowOff>266700</xdr:rowOff>
                  </to>
                </anchor>
              </controlPr>
            </control>
          </mc:Choice>
        </mc:AlternateContent>
        <mc:AlternateContent xmlns:mc="http://schemas.openxmlformats.org/markup-compatibility/2006">
          <mc:Choice Requires="x14">
            <control shapeId="1857" r:id="rId473" name="Button 833">
              <controlPr defaultSize="0" print="0" autoFill="0" autoPict="0" macro="[0]!Pulsante_CANC_152_Click">
                <anchor moveWithCells="1" sizeWithCells="1">
                  <from>
                    <xdr:col>6</xdr:col>
                    <xdr:colOff>28575</xdr:colOff>
                    <xdr:row>152</xdr:row>
                    <xdr:rowOff>19050</xdr:rowOff>
                  </from>
                  <to>
                    <xdr:col>6</xdr:col>
                    <xdr:colOff>447675</xdr:colOff>
                    <xdr:row>152</xdr:row>
                    <xdr:rowOff>266700</xdr:rowOff>
                  </to>
                </anchor>
              </controlPr>
            </control>
          </mc:Choice>
        </mc:AlternateContent>
        <mc:AlternateContent xmlns:mc="http://schemas.openxmlformats.org/markup-compatibility/2006">
          <mc:Choice Requires="x14">
            <control shapeId="1858" r:id="rId474" name="Button 834">
              <controlPr defaultSize="0" print="0" autoFill="0" autoPict="0" macro="[0]!Pulsante_CANC_153_Click">
                <anchor moveWithCells="1" sizeWithCells="1">
                  <from>
                    <xdr:col>6</xdr:col>
                    <xdr:colOff>28575</xdr:colOff>
                    <xdr:row>153</xdr:row>
                    <xdr:rowOff>19050</xdr:rowOff>
                  </from>
                  <to>
                    <xdr:col>6</xdr:col>
                    <xdr:colOff>447675</xdr:colOff>
                    <xdr:row>153</xdr:row>
                    <xdr:rowOff>266700</xdr:rowOff>
                  </to>
                </anchor>
              </controlPr>
            </control>
          </mc:Choice>
        </mc:AlternateContent>
        <mc:AlternateContent xmlns:mc="http://schemas.openxmlformats.org/markup-compatibility/2006">
          <mc:Choice Requires="x14">
            <control shapeId="1859" r:id="rId475" name="Button 835">
              <controlPr defaultSize="0" print="0" autoFill="0" autoPict="0" macro="[0]!Pulsante_CANC_154_Click">
                <anchor moveWithCells="1" sizeWithCells="1">
                  <from>
                    <xdr:col>6</xdr:col>
                    <xdr:colOff>28575</xdr:colOff>
                    <xdr:row>154</xdr:row>
                    <xdr:rowOff>19050</xdr:rowOff>
                  </from>
                  <to>
                    <xdr:col>6</xdr:col>
                    <xdr:colOff>447675</xdr:colOff>
                    <xdr:row>154</xdr:row>
                    <xdr:rowOff>266700</xdr:rowOff>
                  </to>
                </anchor>
              </controlPr>
            </control>
          </mc:Choice>
        </mc:AlternateContent>
        <mc:AlternateContent xmlns:mc="http://schemas.openxmlformats.org/markup-compatibility/2006">
          <mc:Choice Requires="x14">
            <control shapeId="1860" r:id="rId476" name="Button 836">
              <controlPr defaultSize="0" print="0" autoFill="0" autoPict="0" macro="[0]!Pulsante_CANC_155_Click">
                <anchor moveWithCells="1" sizeWithCells="1">
                  <from>
                    <xdr:col>6</xdr:col>
                    <xdr:colOff>28575</xdr:colOff>
                    <xdr:row>155</xdr:row>
                    <xdr:rowOff>19050</xdr:rowOff>
                  </from>
                  <to>
                    <xdr:col>6</xdr:col>
                    <xdr:colOff>447675</xdr:colOff>
                    <xdr:row>155</xdr:row>
                    <xdr:rowOff>266700</xdr:rowOff>
                  </to>
                </anchor>
              </controlPr>
            </control>
          </mc:Choice>
        </mc:AlternateContent>
        <mc:AlternateContent xmlns:mc="http://schemas.openxmlformats.org/markup-compatibility/2006">
          <mc:Choice Requires="x14">
            <control shapeId="1861" r:id="rId477" name="Button 837">
              <controlPr defaultSize="0" print="0" autoFill="0" autoPict="0" macro="[0]!Pulsante_CANC_156_Click">
                <anchor moveWithCells="1" sizeWithCells="1">
                  <from>
                    <xdr:col>6</xdr:col>
                    <xdr:colOff>28575</xdr:colOff>
                    <xdr:row>156</xdr:row>
                    <xdr:rowOff>19050</xdr:rowOff>
                  </from>
                  <to>
                    <xdr:col>6</xdr:col>
                    <xdr:colOff>447675</xdr:colOff>
                    <xdr:row>156</xdr:row>
                    <xdr:rowOff>266700</xdr:rowOff>
                  </to>
                </anchor>
              </controlPr>
            </control>
          </mc:Choice>
        </mc:AlternateContent>
        <mc:AlternateContent xmlns:mc="http://schemas.openxmlformats.org/markup-compatibility/2006">
          <mc:Choice Requires="x14">
            <control shapeId="1862" r:id="rId478" name="Button 838">
              <controlPr defaultSize="0" print="0" autoFill="0" autoPict="0" macro="[0]!Pulsante_CANC_157_Click">
                <anchor moveWithCells="1" sizeWithCells="1">
                  <from>
                    <xdr:col>6</xdr:col>
                    <xdr:colOff>28575</xdr:colOff>
                    <xdr:row>157</xdr:row>
                    <xdr:rowOff>19050</xdr:rowOff>
                  </from>
                  <to>
                    <xdr:col>6</xdr:col>
                    <xdr:colOff>447675</xdr:colOff>
                    <xdr:row>157</xdr:row>
                    <xdr:rowOff>266700</xdr:rowOff>
                  </to>
                </anchor>
              </controlPr>
            </control>
          </mc:Choice>
        </mc:AlternateContent>
        <mc:AlternateContent xmlns:mc="http://schemas.openxmlformats.org/markup-compatibility/2006">
          <mc:Choice Requires="x14">
            <control shapeId="1863" r:id="rId479" name="Button 839">
              <controlPr defaultSize="0" print="0" autoFill="0" autoPict="0" macro="[0]!Pulsante_CANC_158_Click">
                <anchor moveWithCells="1" sizeWithCells="1">
                  <from>
                    <xdr:col>6</xdr:col>
                    <xdr:colOff>28575</xdr:colOff>
                    <xdr:row>158</xdr:row>
                    <xdr:rowOff>19050</xdr:rowOff>
                  </from>
                  <to>
                    <xdr:col>6</xdr:col>
                    <xdr:colOff>447675</xdr:colOff>
                    <xdr:row>158</xdr:row>
                    <xdr:rowOff>266700</xdr:rowOff>
                  </to>
                </anchor>
              </controlPr>
            </control>
          </mc:Choice>
        </mc:AlternateContent>
        <mc:AlternateContent xmlns:mc="http://schemas.openxmlformats.org/markup-compatibility/2006">
          <mc:Choice Requires="x14">
            <control shapeId="1864" r:id="rId480" name="Button 840">
              <controlPr defaultSize="0" print="0" autoFill="0" autoPict="0" macro="[0]!Pulsante_CANC_159_Click">
                <anchor moveWithCells="1" sizeWithCells="1">
                  <from>
                    <xdr:col>6</xdr:col>
                    <xdr:colOff>28575</xdr:colOff>
                    <xdr:row>159</xdr:row>
                    <xdr:rowOff>19050</xdr:rowOff>
                  </from>
                  <to>
                    <xdr:col>6</xdr:col>
                    <xdr:colOff>447675</xdr:colOff>
                    <xdr:row>159</xdr:row>
                    <xdr:rowOff>266700</xdr:rowOff>
                  </to>
                </anchor>
              </controlPr>
            </control>
          </mc:Choice>
        </mc:AlternateContent>
        <mc:AlternateContent xmlns:mc="http://schemas.openxmlformats.org/markup-compatibility/2006">
          <mc:Choice Requires="x14">
            <control shapeId="1865" r:id="rId481" name="Button 841">
              <controlPr defaultSize="0" print="0" autoFill="0" autoPict="0" macro="[0]!Pulsante_CANC_160_Click">
                <anchor moveWithCells="1" sizeWithCells="1">
                  <from>
                    <xdr:col>6</xdr:col>
                    <xdr:colOff>28575</xdr:colOff>
                    <xdr:row>160</xdr:row>
                    <xdr:rowOff>19050</xdr:rowOff>
                  </from>
                  <to>
                    <xdr:col>6</xdr:col>
                    <xdr:colOff>447675</xdr:colOff>
                    <xdr:row>160</xdr:row>
                    <xdr:rowOff>266700</xdr:rowOff>
                  </to>
                </anchor>
              </controlPr>
            </control>
          </mc:Choice>
        </mc:AlternateContent>
        <mc:AlternateContent xmlns:mc="http://schemas.openxmlformats.org/markup-compatibility/2006">
          <mc:Choice Requires="x14">
            <control shapeId="1866" r:id="rId482" name="Button 842">
              <controlPr defaultSize="0" print="0" autoFill="0" autoPict="0" macro="[0]!Pulsante_CANC_26_Click">
                <anchor moveWithCells="1">
                  <from>
                    <xdr:col>6</xdr:col>
                    <xdr:colOff>38100</xdr:colOff>
                    <xdr:row>26</xdr:row>
                    <xdr:rowOff>28575</xdr:rowOff>
                  </from>
                  <to>
                    <xdr:col>6</xdr:col>
                    <xdr:colOff>428625</xdr:colOff>
                    <xdr:row>26</xdr:row>
                    <xdr:rowOff>266700</xdr:rowOff>
                  </to>
                </anchor>
              </controlPr>
            </control>
          </mc:Choice>
        </mc:AlternateContent>
        <mc:AlternateContent xmlns:mc="http://schemas.openxmlformats.org/markup-compatibility/2006">
          <mc:Choice Requires="x14">
            <control shapeId="1867" r:id="rId483" name="Button 843">
              <controlPr defaultSize="0" print="0" autoFill="0" autoPict="0" macro="[0]!Pulsante_CANC_51_Click">
                <anchor moveWithCells="1" sizeWithCells="1">
                  <from>
                    <xdr:col>6</xdr:col>
                    <xdr:colOff>28575</xdr:colOff>
                    <xdr:row>51</xdr:row>
                    <xdr:rowOff>28575</xdr:rowOff>
                  </from>
                  <to>
                    <xdr:col>6</xdr:col>
                    <xdr:colOff>447675</xdr:colOff>
                    <xdr:row>51</xdr:row>
                    <xdr:rowOff>266700</xdr:rowOff>
                  </to>
                </anchor>
              </controlPr>
            </control>
          </mc:Choice>
        </mc:AlternateContent>
        <mc:AlternateContent xmlns:mc="http://schemas.openxmlformats.org/markup-compatibility/2006">
          <mc:Choice Requires="x14">
            <control shapeId="1868" r:id="rId484" name="Button 844">
              <controlPr defaultSize="0" print="0" autoFill="0" autoPict="0" macro="[0]!Pulsante_CANC_50_Click">
                <anchor moveWithCells="1" sizeWithCells="1">
                  <from>
                    <xdr:col>6</xdr:col>
                    <xdr:colOff>19050</xdr:colOff>
                    <xdr:row>50</xdr:row>
                    <xdr:rowOff>19050</xdr:rowOff>
                  </from>
                  <to>
                    <xdr:col>6</xdr:col>
                    <xdr:colOff>457200</xdr:colOff>
                    <xdr:row>50</xdr:row>
                    <xdr:rowOff>266700</xdr:rowOff>
                  </to>
                </anchor>
              </controlPr>
            </control>
          </mc:Choice>
        </mc:AlternateContent>
        <mc:AlternateContent xmlns:mc="http://schemas.openxmlformats.org/markup-compatibility/2006">
          <mc:Choice Requires="x14">
            <control shapeId="1869" r:id="rId485" name="Button 845">
              <controlPr defaultSize="0" print="0" autoFill="0" autoPict="0" macro="[0]!Pulsante_CANC_52_Click">
                <anchor moveWithCells="1" sizeWithCells="1">
                  <from>
                    <xdr:col>6</xdr:col>
                    <xdr:colOff>9525</xdr:colOff>
                    <xdr:row>52</xdr:row>
                    <xdr:rowOff>19050</xdr:rowOff>
                  </from>
                  <to>
                    <xdr:col>6</xdr:col>
                    <xdr:colOff>447675</xdr:colOff>
                    <xdr:row>52</xdr:row>
                    <xdr:rowOff>266700</xdr:rowOff>
                  </to>
                </anchor>
              </controlPr>
            </control>
          </mc:Choice>
        </mc:AlternateContent>
        <mc:AlternateContent xmlns:mc="http://schemas.openxmlformats.org/markup-compatibility/2006">
          <mc:Choice Requires="x14">
            <control shapeId="1870" r:id="rId486" name="Button 846">
              <controlPr defaultSize="0" print="0" autoFill="0" autoPict="0" macro="[0]!Pulsante_CANC_74_Click">
                <anchor moveWithCells="1" sizeWithCells="1">
                  <from>
                    <xdr:col>6</xdr:col>
                    <xdr:colOff>28575</xdr:colOff>
                    <xdr:row>74</xdr:row>
                    <xdr:rowOff>19050</xdr:rowOff>
                  </from>
                  <to>
                    <xdr:col>6</xdr:col>
                    <xdr:colOff>447675</xdr:colOff>
                    <xdr:row>74</xdr:row>
                    <xdr:rowOff>276225</xdr:rowOff>
                  </to>
                </anchor>
              </controlPr>
            </control>
          </mc:Choice>
        </mc:AlternateContent>
        <mc:AlternateContent xmlns:mc="http://schemas.openxmlformats.org/markup-compatibility/2006">
          <mc:Choice Requires="x14">
            <control shapeId="1928" r:id="rId487" name="Button 904">
              <controlPr defaultSize="0" print="0" autoFill="0" autoPict="0" macro="[0]!Pulsante161_Click">
                <anchor moveWithCells="1" sizeWithCells="1">
                  <from>
                    <xdr:col>0</xdr:col>
                    <xdr:colOff>28575</xdr:colOff>
                    <xdr:row>161</xdr:row>
                    <xdr:rowOff>19050</xdr:rowOff>
                  </from>
                  <to>
                    <xdr:col>0</xdr:col>
                    <xdr:colOff>447675</xdr:colOff>
                    <xdr:row>161</xdr:row>
                    <xdr:rowOff>266700</xdr:rowOff>
                  </to>
                </anchor>
              </controlPr>
            </control>
          </mc:Choice>
        </mc:AlternateContent>
        <mc:AlternateContent xmlns:mc="http://schemas.openxmlformats.org/markup-compatibility/2006">
          <mc:Choice Requires="x14">
            <control shapeId="1929" r:id="rId488" name="Button 905">
              <controlPr defaultSize="0" print="0" autoFill="0" autoPict="0" macro="[0]!Pulsante162_Click">
                <anchor moveWithCells="1" sizeWithCells="1">
                  <from>
                    <xdr:col>0</xdr:col>
                    <xdr:colOff>28575</xdr:colOff>
                    <xdr:row>162</xdr:row>
                    <xdr:rowOff>19050</xdr:rowOff>
                  </from>
                  <to>
                    <xdr:col>0</xdr:col>
                    <xdr:colOff>447675</xdr:colOff>
                    <xdr:row>162</xdr:row>
                    <xdr:rowOff>266700</xdr:rowOff>
                  </to>
                </anchor>
              </controlPr>
            </control>
          </mc:Choice>
        </mc:AlternateContent>
        <mc:AlternateContent xmlns:mc="http://schemas.openxmlformats.org/markup-compatibility/2006">
          <mc:Choice Requires="x14">
            <control shapeId="1930" r:id="rId489" name="Button 906">
              <controlPr defaultSize="0" print="0" autoFill="0" autoPict="0" macro="[0]!Pulsante161B_Click">
                <anchor moveWithCells="1" sizeWithCells="1">
                  <from>
                    <xdr:col>16</xdr:col>
                    <xdr:colOff>28575</xdr:colOff>
                    <xdr:row>161</xdr:row>
                    <xdr:rowOff>19050</xdr:rowOff>
                  </from>
                  <to>
                    <xdr:col>16</xdr:col>
                    <xdr:colOff>447675</xdr:colOff>
                    <xdr:row>161</xdr:row>
                    <xdr:rowOff>266700</xdr:rowOff>
                  </to>
                </anchor>
              </controlPr>
            </control>
          </mc:Choice>
        </mc:AlternateContent>
        <mc:AlternateContent xmlns:mc="http://schemas.openxmlformats.org/markup-compatibility/2006">
          <mc:Choice Requires="x14">
            <control shapeId="1931" r:id="rId490" name="Button 907">
              <controlPr defaultSize="0" print="0" autoFill="0" autoPict="0" macro="[0]!Pulsante162B_Click">
                <anchor moveWithCells="1" sizeWithCells="1">
                  <from>
                    <xdr:col>16</xdr:col>
                    <xdr:colOff>28575</xdr:colOff>
                    <xdr:row>162</xdr:row>
                    <xdr:rowOff>19050</xdr:rowOff>
                  </from>
                  <to>
                    <xdr:col>16</xdr:col>
                    <xdr:colOff>447675</xdr:colOff>
                    <xdr:row>162</xdr:row>
                    <xdr:rowOff>266700</xdr:rowOff>
                  </to>
                </anchor>
              </controlPr>
            </control>
          </mc:Choice>
        </mc:AlternateContent>
        <mc:AlternateContent xmlns:mc="http://schemas.openxmlformats.org/markup-compatibility/2006">
          <mc:Choice Requires="x14">
            <control shapeId="1932" r:id="rId491" name="Button 908">
              <controlPr defaultSize="0" print="0" autoFill="0" autoPict="0" macro="[0]!Pulsante_CANC_161_Click">
                <anchor moveWithCells="1" sizeWithCells="1">
                  <from>
                    <xdr:col>6</xdr:col>
                    <xdr:colOff>28575</xdr:colOff>
                    <xdr:row>161</xdr:row>
                    <xdr:rowOff>19050</xdr:rowOff>
                  </from>
                  <to>
                    <xdr:col>6</xdr:col>
                    <xdr:colOff>447675</xdr:colOff>
                    <xdr:row>161</xdr:row>
                    <xdr:rowOff>266700</xdr:rowOff>
                  </to>
                </anchor>
              </controlPr>
            </control>
          </mc:Choice>
        </mc:AlternateContent>
        <mc:AlternateContent xmlns:mc="http://schemas.openxmlformats.org/markup-compatibility/2006">
          <mc:Choice Requires="x14">
            <control shapeId="1933" r:id="rId492" name="Button 909">
              <controlPr defaultSize="0" print="0" autoFill="0" autoPict="0" macro="[0]!Pulsante_CANC_162_Click">
                <anchor moveWithCells="1" sizeWithCells="1">
                  <from>
                    <xdr:col>6</xdr:col>
                    <xdr:colOff>28575</xdr:colOff>
                    <xdr:row>162</xdr:row>
                    <xdr:rowOff>19050</xdr:rowOff>
                  </from>
                  <to>
                    <xdr:col>6</xdr:col>
                    <xdr:colOff>447675</xdr:colOff>
                    <xdr:row>162</xdr:row>
                    <xdr:rowOff>266700</xdr:rowOff>
                  </to>
                </anchor>
              </controlPr>
            </control>
          </mc:Choice>
        </mc:AlternateContent>
        <mc:AlternateContent xmlns:mc="http://schemas.openxmlformats.org/markup-compatibility/2006">
          <mc:Choice Requires="x14">
            <control shapeId="1934" r:id="rId493" name="Button 910">
              <controlPr defaultSize="0" print="0" autoFill="0" autoPict="0" macro="[0]!Pulsante163_Click">
                <anchor moveWithCells="1" sizeWithCells="1">
                  <from>
                    <xdr:col>0</xdr:col>
                    <xdr:colOff>28575</xdr:colOff>
                    <xdr:row>163</xdr:row>
                    <xdr:rowOff>19050</xdr:rowOff>
                  </from>
                  <to>
                    <xdr:col>0</xdr:col>
                    <xdr:colOff>447675</xdr:colOff>
                    <xdr:row>163</xdr:row>
                    <xdr:rowOff>266700</xdr:rowOff>
                  </to>
                </anchor>
              </controlPr>
            </control>
          </mc:Choice>
        </mc:AlternateContent>
        <mc:AlternateContent xmlns:mc="http://schemas.openxmlformats.org/markup-compatibility/2006">
          <mc:Choice Requires="x14">
            <control shapeId="1935" r:id="rId494" name="Button 911">
              <controlPr defaultSize="0" print="0" autoFill="0" autoPict="0" macro="[0]!Pulsante164_Click">
                <anchor moveWithCells="1" sizeWithCells="1">
                  <from>
                    <xdr:col>0</xdr:col>
                    <xdr:colOff>28575</xdr:colOff>
                    <xdr:row>164</xdr:row>
                    <xdr:rowOff>19050</xdr:rowOff>
                  </from>
                  <to>
                    <xdr:col>0</xdr:col>
                    <xdr:colOff>447675</xdr:colOff>
                    <xdr:row>164</xdr:row>
                    <xdr:rowOff>266700</xdr:rowOff>
                  </to>
                </anchor>
              </controlPr>
            </control>
          </mc:Choice>
        </mc:AlternateContent>
        <mc:AlternateContent xmlns:mc="http://schemas.openxmlformats.org/markup-compatibility/2006">
          <mc:Choice Requires="x14">
            <control shapeId="1936" r:id="rId495" name="Button 912">
              <controlPr defaultSize="0" print="0" autoFill="0" autoPict="0" macro="[0]!Pulsante163B_Click">
                <anchor moveWithCells="1" sizeWithCells="1">
                  <from>
                    <xdr:col>16</xdr:col>
                    <xdr:colOff>28575</xdr:colOff>
                    <xdr:row>163</xdr:row>
                    <xdr:rowOff>19050</xdr:rowOff>
                  </from>
                  <to>
                    <xdr:col>16</xdr:col>
                    <xdr:colOff>447675</xdr:colOff>
                    <xdr:row>163</xdr:row>
                    <xdr:rowOff>266700</xdr:rowOff>
                  </to>
                </anchor>
              </controlPr>
            </control>
          </mc:Choice>
        </mc:AlternateContent>
        <mc:AlternateContent xmlns:mc="http://schemas.openxmlformats.org/markup-compatibility/2006">
          <mc:Choice Requires="x14">
            <control shapeId="1937" r:id="rId496" name="Button 913">
              <controlPr defaultSize="0" print="0" autoFill="0" autoPict="0" macro="[0]!Pulsante164B_Click">
                <anchor moveWithCells="1" sizeWithCells="1">
                  <from>
                    <xdr:col>16</xdr:col>
                    <xdr:colOff>28575</xdr:colOff>
                    <xdr:row>164</xdr:row>
                    <xdr:rowOff>19050</xdr:rowOff>
                  </from>
                  <to>
                    <xdr:col>16</xdr:col>
                    <xdr:colOff>447675</xdr:colOff>
                    <xdr:row>164</xdr:row>
                    <xdr:rowOff>266700</xdr:rowOff>
                  </to>
                </anchor>
              </controlPr>
            </control>
          </mc:Choice>
        </mc:AlternateContent>
        <mc:AlternateContent xmlns:mc="http://schemas.openxmlformats.org/markup-compatibility/2006">
          <mc:Choice Requires="x14">
            <control shapeId="1938" r:id="rId497" name="Button 914">
              <controlPr defaultSize="0" print="0" autoFill="0" autoPict="0" macro="[0]!Pulsante_CANC_163_Click">
                <anchor moveWithCells="1" sizeWithCells="1">
                  <from>
                    <xdr:col>6</xdr:col>
                    <xdr:colOff>28575</xdr:colOff>
                    <xdr:row>163</xdr:row>
                    <xdr:rowOff>19050</xdr:rowOff>
                  </from>
                  <to>
                    <xdr:col>6</xdr:col>
                    <xdr:colOff>447675</xdr:colOff>
                    <xdr:row>163</xdr:row>
                    <xdr:rowOff>266700</xdr:rowOff>
                  </to>
                </anchor>
              </controlPr>
            </control>
          </mc:Choice>
        </mc:AlternateContent>
        <mc:AlternateContent xmlns:mc="http://schemas.openxmlformats.org/markup-compatibility/2006">
          <mc:Choice Requires="x14">
            <control shapeId="1939" r:id="rId498" name="Button 915">
              <controlPr defaultSize="0" print="0" autoFill="0" autoPict="0" macro="[0]!Pulsante_CANC_164_Click">
                <anchor moveWithCells="1" sizeWithCells="1">
                  <from>
                    <xdr:col>6</xdr:col>
                    <xdr:colOff>28575</xdr:colOff>
                    <xdr:row>164</xdr:row>
                    <xdr:rowOff>19050</xdr:rowOff>
                  </from>
                  <to>
                    <xdr:col>6</xdr:col>
                    <xdr:colOff>447675</xdr:colOff>
                    <xdr:row>164</xdr:row>
                    <xdr:rowOff>266700</xdr:rowOff>
                  </to>
                </anchor>
              </controlPr>
            </control>
          </mc:Choice>
        </mc:AlternateContent>
        <mc:AlternateContent xmlns:mc="http://schemas.openxmlformats.org/markup-compatibility/2006">
          <mc:Choice Requires="x14">
            <control shapeId="1940" r:id="rId499" name="Button 916">
              <controlPr defaultSize="0" print="0" autoFill="0" autoPict="0" macro="[0]!Pulsante165_Click">
                <anchor moveWithCells="1" sizeWithCells="1">
                  <from>
                    <xdr:col>0</xdr:col>
                    <xdr:colOff>28575</xdr:colOff>
                    <xdr:row>165</xdr:row>
                    <xdr:rowOff>19050</xdr:rowOff>
                  </from>
                  <to>
                    <xdr:col>0</xdr:col>
                    <xdr:colOff>447675</xdr:colOff>
                    <xdr:row>165</xdr:row>
                    <xdr:rowOff>266700</xdr:rowOff>
                  </to>
                </anchor>
              </controlPr>
            </control>
          </mc:Choice>
        </mc:AlternateContent>
        <mc:AlternateContent xmlns:mc="http://schemas.openxmlformats.org/markup-compatibility/2006">
          <mc:Choice Requires="x14">
            <control shapeId="1941" r:id="rId500" name="Button 917">
              <controlPr defaultSize="0" print="0" autoFill="0" autoPict="0" macro="[0]!Pulsante166_Click">
                <anchor moveWithCells="1" sizeWithCells="1">
                  <from>
                    <xdr:col>0</xdr:col>
                    <xdr:colOff>28575</xdr:colOff>
                    <xdr:row>166</xdr:row>
                    <xdr:rowOff>19050</xdr:rowOff>
                  </from>
                  <to>
                    <xdr:col>0</xdr:col>
                    <xdr:colOff>447675</xdr:colOff>
                    <xdr:row>166</xdr:row>
                    <xdr:rowOff>266700</xdr:rowOff>
                  </to>
                </anchor>
              </controlPr>
            </control>
          </mc:Choice>
        </mc:AlternateContent>
        <mc:AlternateContent xmlns:mc="http://schemas.openxmlformats.org/markup-compatibility/2006">
          <mc:Choice Requires="x14">
            <control shapeId="1942" r:id="rId501" name="Button 918">
              <controlPr defaultSize="0" print="0" autoFill="0" autoPict="0" macro="[0]!Pulsante165B_Click">
                <anchor moveWithCells="1" sizeWithCells="1">
                  <from>
                    <xdr:col>16</xdr:col>
                    <xdr:colOff>28575</xdr:colOff>
                    <xdr:row>165</xdr:row>
                    <xdr:rowOff>19050</xdr:rowOff>
                  </from>
                  <to>
                    <xdr:col>16</xdr:col>
                    <xdr:colOff>447675</xdr:colOff>
                    <xdr:row>165</xdr:row>
                    <xdr:rowOff>266700</xdr:rowOff>
                  </to>
                </anchor>
              </controlPr>
            </control>
          </mc:Choice>
        </mc:AlternateContent>
        <mc:AlternateContent xmlns:mc="http://schemas.openxmlformats.org/markup-compatibility/2006">
          <mc:Choice Requires="x14">
            <control shapeId="1943" r:id="rId502" name="Button 919">
              <controlPr defaultSize="0" print="0" autoFill="0" autoPict="0" macro="[0]!Pulsante166B_Click">
                <anchor moveWithCells="1" sizeWithCells="1">
                  <from>
                    <xdr:col>16</xdr:col>
                    <xdr:colOff>28575</xdr:colOff>
                    <xdr:row>166</xdr:row>
                    <xdr:rowOff>19050</xdr:rowOff>
                  </from>
                  <to>
                    <xdr:col>16</xdr:col>
                    <xdr:colOff>447675</xdr:colOff>
                    <xdr:row>166</xdr:row>
                    <xdr:rowOff>266700</xdr:rowOff>
                  </to>
                </anchor>
              </controlPr>
            </control>
          </mc:Choice>
        </mc:AlternateContent>
        <mc:AlternateContent xmlns:mc="http://schemas.openxmlformats.org/markup-compatibility/2006">
          <mc:Choice Requires="x14">
            <control shapeId="1944" r:id="rId503" name="Button 920">
              <controlPr defaultSize="0" print="0" autoFill="0" autoPict="0" macro="[0]!Pulsante_CANC_165_Click">
                <anchor moveWithCells="1" sizeWithCells="1">
                  <from>
                    <xdr:col>6</xdr:col>
                    <xdr:colOff>28575</xdr:colOff>
                    <xdr:row>165</xdr:row>
                    <xdr:rowOff>19050</xdr:rowOff>
                  </from>
                  <to>
                    <xdr:col>6</xdr:col>
                    <xdr:colOff>447675</xdr:colOff>
                    <xdr:row>165</xdr:row>
                    <xdr:rowOff>266700</xdr:rowOff>
                  </to>
                </anchor>
              </controlPr>
            </control>
          </mc:Choice>
        </mc:AlternateContent>
        <mc:AlternateContent xmlns:mc="http://schemas.openxmlformats.org/markup-compatibility/2006">
          <mc:Choice Requires="x14">
            <control shapeId="1945" r:id="rId504" name="Button 921">
              <controlPr defaultSize="0" print="0" autoFill="0" autoPict="0" macro="[0]!Pulsante_CANC_166_Click">
                <anchor moveWithCells="1" sizeWithCells="1">
                  <from>
                    <xdr:col>6</xdr:col>
                    <xdr:colOff>28575</xdr:colOff>
                    <xdr:row>166</xdr:row>
                    <xdr:rowOff>19050</xdr:rowOff>
                  </from>
                  <to>
                    <xdr:col>6</xdr:col>
                    <xdr:colOff>447675</xdr:colOff>
                    <xdr:row>166</xdr:row>
                    <xdr:rowOff>266700</xdr:rowOff>
                  </to>
                </anchor>
              </controlPr>
            </control>
          </mc:Choice>
        </mc:AlternateContent>
        <mc:AlternateContent xmlns:mc="http://schemas.openxmlformats.org/markup-compatibility/2006">
          <mc:Choice Requires="x14">
            <control shapeId="1946" r:id="rId505" name="Button 922">
              <controlPr defaultSize="0" print="0" autoFill="0" autoPict="0" macro="[0]!Pulsante167_Click">
                <anchor moveWithCells="1" sizeWithCells="1">
                  <from>
                    <xdr:col>0</xdr:col>
                    <xdr:colOff>28575</xdr:colOff>
                    <xdr:row>167</xdr:row>
                    <xdr:rowOff>19050</xdr:rowOff>
                  </from>
                  <to>
                    <xdr:col>0</xdr:col>
                    <xdr:colOff>447675</xdr:colOff>
                    <xdr:row>167</xdr:row>
                    <xdr:rowOff>266700</xdr:rowOff>
                  </to>
                </anchor>
              </controlPr>
            </control>
          </mc:Choice>
        </mc:AlternateContent>
        <mc:AlternateContent xmlns:mc="http://schemas.openxmlformats.org/markup-compatibility/2006">
          <mc:Choice Requires="x14">
            <control shapeId="1947" r:id="rId506" name="Button 923">
              <controlPr defaultSize="0" print="0" autoFill="0" autoPict="0" macro="[0]!Pulsante168_Click">
                <anchor moveWithCells="1" sizeWithCells="1">
                  <from>
                    <xdr:col>0</xdr:col>
                    <xdr:colOff>28575</xdr:colOff>
                    <xdr:row>168</xdr:row>
                    <xdr:rowOff>19050</xdr:rowOff>
                  </from>
                  <to>
                    <xdr:col>0</xdr:col>
                    <xdr:colOff>447675</xdr:colOff>
                    <xdr:row>168</xdr:row>
                    <xdr:rowOff>266700</xdr:rowOff>
                  </to>
                </anchor>
              </controlPr>
            </control>
          </mc:Choice>
        </mc:AlternateContent>
        <mc:AlternateContent xmlns:mc="http://schemas.openxmlformats.org/markup-compatibility/2006">
          <mc:Choice Requires="x14">
            <control shapeId="1948" r:id="rId507" name="Button 924">
              <controlPr defaultSize="0" print="0" autoFill="0" autoPict="0" macro="[0]!Pulsante167B_Click">
                <anchor moveWithCells="1" sizeWithCells="1">
                  <from>
                    <xdr:col>16</xdr:col>
                    <xdr:colOff>28575</xdr:colOff>
                    <xdr:row>167</xdr:row>
                    <xdr:rowOff>19050</xdr:rowOff>
                  </from>
                  <to>
                    <xdr:col>16</xdr:col>
                    <xdr:colOff>447675</xdr:colOff>
                    <xdr:row>167</xdr:row>
                    <xdr:rowOff>266700</xdr:rowOff>
                  </to>
                </anchor>
              </controlPr>
            </control>
          </mc:Choice>
        </mc:AlternateContent>
        <mc:AlternateContent xmlns:mc="http://schemas.openxmlformats.org/markup-compatibility/2006">
          <mc:Choice Requires="x14">
            <control shapeId="1949" r:id="rId508" name="Button 925">
              <controlPr defaultSize="0" print="0" autoFill="0" autoPict="0" macro="[0]!Pulsante168B_Click">
                <anchor moveWithCells="1" sizeWithCells="1">
                  <from>
                    <xdr:col>16</xdr:col>
                    <xdr:colOff>28575</xdr:colOff>
                    <xdr:row>168</xdr:row>
                    <xdr:rowOff>19050</xdr:rowOff>
                  </from>
                  <to>
                    <xdr:col>16</xdr:col>
                    <xdr:colOff>447675</xdr:colOff>
                    <xdr:row>168</xdr:row>
                    <xdr:rowOff>266700</xdr:rowOff>
                  </to>
                </anchor>
              </controlPr>
            </control>
          </mc:Choice>
        </mc:AlternateContent>
        <mc:AlternateContent xmlns:mc="http://schemas.openxmlformats.org/markup-compatibility/2006">
          <mc:Choice Requires="x14">
            <control shapeId="1950" r:id="rId509" name="Button 926">
              <controlPr defaultSize="0" print="0" autoFill="0" autoPict="0" macro="[0]!Pulsante_CANC_167_Click">
                <anchor moveWithCells="1" sizeWithCells="1">
                  <from>
                    <xdr:col>6</xdr:col>
                    <xdr:colOff>28575</xdr:colOff>
                    <xdr:row>167</xdr:row>
                    <xdr:rowOff>19050</xdr:rowOff>
                  </from>
                  <to>
                    <xdr:col>6</xdr:col>
                    <xdr:colOff>447675</xdr:colOff>
                    <xdr:row>167</xdr:row>
                    <xdr:rowOff>266700</xdr:rowOff>
                  </to>
                </anchor>
              </controlPr>
            </control>
          </mc:Choice>
        </mc:AlternateContent>
        <mc:AlternateContent xmlns:mc="http://schemas.openxmlformats.org/markup-compatibility/2006">
          <mc:Choice Requires="x14">
            <control shapeId="1951" r:id="rId510" name="Button 927">
              <controlPr defaultSize="0" print="0" autoFill="0" autoPict="0" macro="[0]!Pulsante_CANC_168_Click">
                <anchor moveWithCells="1" sizeWithCells="1">
                  <from>
                    <xdr:col>6</xdr:col>
                    <xdr:colOff>28575</xdr:colOff>
                    <xdr:row>168</xdr:row>
                    <xdr:rowOff>19050</xdr:rowOff>
                  </from>
                  <to>
                    <xdr:col>6</xdr:col>
                    <xdr:colOff>447675</xdr:colOff>
                    <xdr:row>168</xdr:row>
                    <xdr:rowOff>266700</xdr:rowOff>
                  </to>
                </anchor>
              </controlPr>
            </control>
          </mc:Choice>
        </mc:AlternateContent>
        <mc:AlternateContent xmlns:mc="http://schemas.openxmlformats.org/markup-compatibility/2006">
          <mc:Choice Requires="x14">
            <control shapeId="1952" r:id="rId511" name="Button 928">
              <controlPr defaultSize="0" print="0" autoFill="0" autoPict="0" macro="[0]!Pulsante169_Click">
                <anchor moveWithCells="1" sizeWithCells="1">
                  <from>
                    <xdr:col>0</xdr:col>
                    <xdr:colOff>28575</xdr:colOff>
                    <xdr:row>169</xdr:row>
                    <xdr:rowOff>19050</xdr:rowOff>
                  </from>
                  <to>
                    <xdr:col>0</xdr:col>
                    <xdr:colOff>447675</xdr:colOff>
                    <xdr:row>169</xdr:row>
                    <xdr:rowOff>266700</xdr:rowOff>
                  </to>
                </anchor>
              </controlPr>
            </control>
          </mc:Choice>
        </mc:AlternateContent>
        <mc:AlternateContent xmlns:mc="http://schemas.openxmlformats.org/markup-compatibility/2006">
          <mc:Choice Requires="x14">
            <control shapeId="1953" r:id="rId512" name="Button 929">
              <controlPr defaultSize="0" print="0" autoFill="0" autoPict="0" macro="[0]!Pulsante170_Click">
                <anchor moveWithCells="1" sizeWithCells="1">
                  <from>
                    <xdr:col>0</xdr:col>
                    <xdr:colOff>28575</xdr:colOff>
                    <xdr:row>170</xdr:row>
                    <xdr:rowOff>19050</xdr:rowOff>
                  </from>
                  <to>
                    <xdr:col>0</xdr:col>
                    <xdr:colOff>447675</xdr:colOff>
                    <xdr:row>170</xdr:row>
                    <xdr:rowOff>266700</xdr:rowOff>
                  </to>
                </anchor>
              </controlPr>
            </control>
          </mc:Choice>
        </mc:AlternateContent>
        <mc:AlternateContent xmlns:mc="http://schemas.openxmlformats.org/markup-compatibility/2006">
          <mc:Choice Requires="x14">
            <control shapeId="1954" r:id="rId513" name="Button 930">
              <controlPr defaultSize="0" print="0" autoFill="0" autoPict="0" macro="[0]!Pulsante169B_Click">
                <anchor moveWithCells="1" sizeWithCells="1">
                  <from>
                    <xdr:col>16</xdr:col>
                    <xdr:colOff>28575</xdr:colOff>
                    <xdr:row>169</xdr:row>
                    <xdr:rowOff>19050</xdr:rowOff>
                  </from>
                  <to>
                    <xdr:col>16</xdr:col>
                    <xdr:colOff>447675</xdr:colOff>
                    <xdr:row>169</xdr:row>
                    <xdr:rowOff>266700</xdr:rowOff>
                  </to>
                </anchor>
              </controlPr>
            </control>
          </mc:Choice>
        </mc:AlternateContent>
        <mc:AlternateContent xmlns:mc="http://schemas.openxmlformats.org/markup-compatibility/2006">
          <mc:Choice Requires="x14">
            <control shapeId="1955" r:id="rId514" name="Button 931">
              <controlPr defaultSize="0" print="0" autoFill="0" autoPict="0" macro="[0]!Pulsante170B_Click">
                <anchor moveWithCells="1" sizeWithCells="1">
                  <from>
                    <xdr:col>16</xdr:col>
                    <xdr:colOff>28575</xdr:colOff>
                    <xdr:row>170</xdr:row>
                    <xdr:rowOff>19050</xdr:rowOff>
                  </from>
                  <to>
                    <xdr:col>16</xdr:col>
                    <xdr:colOff>447675</xdr:colOff>
                    <xdr:row>170</xdr:row>
                    <xdr:rowOff>266700</xdr:rowOff>
                  </to>
                </anchor>
              </controlPr>
            </control>
          </mc:Choice>
        </mc:AlternateContent>
        <mc:AlternateContent xmlns:mc="http://schemas.openxmlformats.org/markup-compatibility/2006">
          <mc:Choice Requires="x14">
            <control shapeId="1956" r:id="rId515" name="Button 932">
              <controlPr defaultSize="0" print="0" autoFill="0" autoPict="0" macro="[0]!Pulsante_CANC_169_Click">
                <anchor moveWithCells="1" sizeWithCells="1">
                  <from>
                    <xdr:col>6</xdr:col>
                    <xdr:colOff>28575</xdr:colOff>
                    <xdr:row>169</xdr:row>
                    <xdr:rowOff>19050</xdr:rowOff>
                  </from>
                  <to>
                    <xdr:col>6</xdr:col>
                    <xdr:colOff>447675</xdr:colOff>
                    <xdr:row>169</xdr:row>
                    <xdr:rowOff>266700</xdr:rowOff>
                  </to>
                </anchor>
              </controlPr>
            </control>
          </mc:Choice>
        </mc:AlternateContent>
        <mc:AlternateContent xmlns:mc="http://schemas.openxmlformats.org/markup-compatibility/2006">
          <mc:Choice Requires="x14">
            <control shapeId="1957" r:id="rId516" name="Button 933">
              <controlPr defaultSize="0" print="0" autoFill="0" autoPict="0" macro="[0]!Pulsante_CANC_170_Click">
                <anchor moveWithCells="1" sizeWithCells="1">
                  <from>
                    <xdr:col>6</xdr:col>
                    <xdr:colOff>28575</xdr:colOff>
                    <xdr:row>170</xdr:row>
                    <xdr:rowOff>19050</xdr:rowOff>
                  </from>
                  <to>
                    <xdr:col>6</xdr:col>
                    <xdr:colOff>447675</xdr:colOff>
                    <xdr:row>170</xdr:row>
                    <xdr:rowOff>266700</xdr:rowOff>
                  </to>
                </anchor>
              </controlPr>
            </control>
          </mc:Choice>
        </mc:AlternateContent>
        <mc:AlternateContent xmlns:mc="http://schemas.openxmlformats.org/markup-compatibility/2006">
          <mc:Choice Requires="x14">
            <control shapeId="1958" r:id="rId517" name="Button 934">
              <controlPr defaultSize="0" print="0" autoFill="0" autoPict="0" macro="[0]!Pulsante171_Click">
                <anchor moveWithCells="1" sizeWithCells="1">
                  <from>
                    <xdr:col>0</xdr:col>
                    <xdr:colOff>28575</xdr:colOff>
                    <xdr:row>171</xdr:row>
                    <xdr:rowOff>19050</xdr:rowOff>
                  </from>
                  <to>
                    <xdr:col>0</xdr:col>
                    <xdr:colOff>447675</xdr:colOff>
                    <xdr:row>171</xdr:row>
                    <xdr:rowOff>266700</xdr:rowOff>
                  </to>
                </anchor>
              </controlPr>
            </control>
          </mc:Choice>
        </mc:AlternateContent>
        <mc:AlternateContent xmlns:mc="http://schemas.openxmlformats.org/markup-compatibility/2006">
          <mc:Choice Requires="x14">
            <control shapeId="1959" r:id="rId518" name="Button 935">
              <controlPr defaultSize="0" print="0" autoFill="0" autoPict="0" macro="[0]!Pulsante160_Click">
                <anchor moveWithCells="1" sizeWithCells="1">
                  <from>
                    <xdr:col>0</xdr:col>
                    <xdr:colOff>28575</xdr:colOff>
                    <xdr:row>172</xdr:row>
                    <xdr:rowOff>19050</xdr:rowOff>
                  </from>
                  <to>
                    <xdr:col>0</xdr:col>
                    <xdr:colOff>447675</xdr:colOff>
                    <xdr:row>172</xdr:row>
                    <xdr:rowOff>266700</xdr:rowOff>
                  </to>
                </anchor>
              </controlPr>
            </control>
          </mc:Choice>
        </mc:AlternateContent>
        <mc:AlternateContent xmlns:mc="http://schemas.openxmlformats.org/markup-compatibility/2006">
          <mc:Choice Requires="x14">
            <control shapeId="1960" r:id="rId519" name="Button 936">
              <controlPr defaultSize="0" print="0" autoFill="0" autoPict="0" macro="[0]!Pulsante171B_Click">
                <anchor moveWithCells="1" sizeWithCells="1">
                  <from>
                    <xdr:col>16</xdr:col>
                    <xdr:colOff>28575</xdr:colOff>
                    <xdr:row>171</xdr:row>
                    <xdr:rowOff>19050</xdr:rowOff>
                  </from>
                  <to>
                    <xdr:col>16</xdr:col>
                    <xdr:colOff>447675</xdr:colOff>
                    <xdr:row>171</xdr:row>
                    <xdr:rowOff>266700</xdr:rowOff>
                  </to>
                </anchor>
              </controlPr>
            </control>
          </mc:Choice>
        </mc:AlternateContent>
        <mc:AlternateContent xmlns:mc="http://schemas.openxmlformats.org/markup-compatibility/2006">
          <mc:Choice Requires="x14">
            <control shapeId="1961" r:id="rId520" name="Button 937">
              <controlPr defaultSize="0" print="0" autoFill="0" autoPict="0" macro="[0]!Pulsante160B_Click">
                <anchor moveWithCells="1" sizeWithCells="1">
                  <from>
                    <xdr:col>16</xdr:col>
                    <xdr:colOff>28575</xdr:colOff>
                    <xdr:row>172</xdr:row>
                    <xdr:rowOff>19050</xdr:rowOff>
                  </from>
                  <to>
                    <xdr:col>16</xdr:col>
                    <xdr:colOff>447675</xdr:colOff>
                    <xdr:row>172</xdr:row>
                    <xdr:rowOff>266700</xdr:rowOff>
                  </to>
                </anchor>
              </controlPr>
            </control>
          </mc:Choice>
        </mc:AlternateContent>
        <mc:AlternateContent xmlns:mc="http://schemas.openxmlformats.org/markup-compatibility/2006">
          <mc:Choice Requires="x14">
            <control shapeId="1962" r:id="rId521" name="Button 938">
              <controlPr defaultSize="0" print="0" autoFill="0" autoPict="0" macro="[0]!Pulsante_CANC_171_Click">
                <anchor moveWithCells="1" sizeWithCells="1">
                  <from>
                    <xdr:col>6</xdr:col>
                    <xdr:colOff>28575</xdr:colOff>
                    <xdr:row>171</xdr:row>
                    <xdr:rowOff>19050</xdr:rowOff>
                  </from>
                  <to>
                    <xdr:col>6</xdr:col>
                    <xdr:colOff>447675</xdr:colOff>
                    <xdr:row>171</xdr:row>
                    <xdr:rowOff>266700</xdr:rowOff>
                  </to>
                </anchor>
              </controlPr>
            </control>
          </mc:Choice>
        </mc:AlternateContent>
        <mc:AlternateContent xmlns:mc="http://schemas.openxmlformats.org/markup-compatibility/2006">
          <mc:Choice Requires="x14">
            <control shapeId="1963" r:id="rId522" name="Button 939">
              <controlPr defaultSize="0" print="0" autoFill="0" autoPict="0" macro="[0]!Pulsante_CANC_160_Click">
                <anchor moveWithCells="1" sizeWithCells="1">
                  <from>
                    <xdr:col>6</xdr:col>
                    <xdr:colOff>28575</xdr:colOff>
                    <xdr:row>172</xdr:row>
                    <xdr:rowOff>19050</xdr:rowOff>
                  </from>
                  <to>
                    <xdr:col>6</xdr:col>
                    <xdr:colOff>447675</xdr:colOff>
                    <xdr:row>172</xdr:row>
                    <xdr:rowOff>266700</xdr:rowOff>
                  </to>
                </anchor>
              </controlPr>
            </control>
          </mc:Choice>
        </mc:AlternateContent>
        <mc:AlternateContent xmlns:mc="http://schemas.openxmlformats.org/markup-compatibility/2006">
          <mc:Choice Requires="x14">
            <control shapeId="1964" r:id="rId523" name="Button 940">
              <controlPr defaultSize="0" print="0" autoFill="0" autoPict="0" macro="[0]!Pulsante173_Click">
                <anchor moveWithCells="1" sizeWithCells="1">
                  <from>
                    <xdr:col>0</xdr:col>
                    <xdr:colOff>28575</xdr:colOff>
                    <xdr:row>173</xdr:row>
                    <xdr:rowOff>19050</xdr:rowOff>
                  </from>
                  <to>
                    <xdr:col>0</xdr:col>
                    <xdr:colOff>447675</xdr:colOff>
                    <xdr:row>173</xdr:row>
                    <xdr:rowOff>266700</xdr:rowOff>
                  </to>
                </anchor>
              </controlPr>
            </control>
          </mc:Choice>
        </mc:AlternateContent>
        <mc:AlternateContent xmlns:mc="http://schemas.openxmlformats.org/markup-compatibility/2006">
          <mc:Choice Requires="x14">
            <control shapeId="1965" r:id="rId524" name="Button 941">
              <controlPr defaultSize="0" print="0" autoFill="0" autoPict="0" macro="[0]!Pulsante174_Click">
                <anchor moveWithCells="1" sizeWithCells="1">
                  <from>
                    <xdr:col>0</xdr:col>
                    <xdr:colOff>28575</xdr:colOff>
                    <xdr:row>174</xdr:row>
                    <xdr:rowOff>19050</xdr:rowOff>
                  </from>
                  <to>
                    <xdr:col>0</xdr:col>
                    <xdr:colOff>447675</xdr:colOff>
                    <xdr:row>174</xdr:row>
                    <xdr:rowOff>266700</xdr:rowOff>
                  </to>
                </anchor>
              </controlPr>
            </control>
          </mc:Choice>
        </mc:AlternateContent>
        <mc:AlternateContent xmlns:mc="http://schemas.openxmlformats.org/markup-compatibility/2006">
          <mc:Choice Requires="x14">
            <control shapeId="1966" r:id="rId525" name="Button 942">
              <controlPr defaultSize="0" print="0" autoFill="0" autoPict="0" macro="[0]!Pulsante173B_Click">
                <anchor moveWithCells="1" sizeWithCells="1">
                  <from>
                    <xdr:col>16</xdr:col>
                    <xdr:colOff>28575</xdr:colOff>
                    <xdr:row>173</xdr:row>
                    <xdr:rowOff>19050</xdr:rowOff>
                  </from>
                  <to>
                    <xdr:col>16</xdr:col>
                    <xdr:colOff>447675</xdr:colOff>
                    <xdr:row>173</xdr:row>
                    <xdr:rowOff>266700</xdr:rowOff>
                  </to>
                </anchor>
              </controlPr>
            </control>
          </mc:Choice>
        </mc:AlternateContent>
        <mc:AlternateContent xmlns:mc="http://schemas.openxmlformats.org/markup-compatibility/2006">
          <mc:Choice Requires="x14">
            <control shapeId="1967" r:id="rId526" name="Button 943">
              <controlPr defaultSize="0" print="0" autoFill="0" autoPict="0" macro="[0]!Pulsante174B_Click">
                <anchor moveWithCells="1" sizeWithCells="1">
                  <from>
                    <xdr:col>16</xdr:col>
                    <xdr:colOff>28575</xdr:colOff>
                    <xdr:row>174</xdr:row>
                    <xdr:rowOff>19050</xdr:rowOff>
                  </from>
                  <to>
                    <xdr:col>16</xdr:col>
                    <xdr:colOff>447675</xdr:colOff>
                    <xdr:row>174</xdr:row>
                    <xdr:rowOff>266700</xdr:rowOff>
                  </to>
                </anchor>
              </controlPr>
            </control>
          </mc:Choice>
        </mc:AlternateContent>
        <mc:AlternateContent xmlns:mc="http://schemas.openxmlformats.org/markup-compatibility/2006">
          <mc:Choice Requires="x14">
            <control shapeId="1968" r:id="rId527" name="Button 944">
              <controlPr defaultSize="0" print="0" autoFill="0" autoPict="0" macro="[0]!Pulsante_CANC_173_Click">
                <anchor moveWithCells="1" sizeWithCells="1">
                  <from>
                    <xdr:col>6</xdr:col>
                    <xdr:colOff>28575</xdr:colOff>
                    <xdr:row>173</xdr:row>
                    <xdr:rowOff>19050</xdr:rowOff>
                  </from>
                  <to>
                    <xdr:col>6</xdr:col>
                    <xdr:colOff>447675</xdr:colOff>
                    <xdr:row>173</xdr:row>
                    <xdr:rowOff>266700</xdr:rowOff>
                  </to>
                </anchor>
              </controlPr>
            </control>
          </mc:Choice>
        </mc:AlternateContent>
        <mc:AlternateContent xmlns:mc="http://schemas.openxmlformats.org/markup-compatibility/2006">
          <mc:Choice Requires="x14">
            <control shapeId="1969" r:id="rId528" name="Button 945">
              <controlPr defaultSize="0" print="0" autoFill="0" autoPict="0" macro="[0]!Pulsante_CANC_174_Click">
                <anchor moveWithCells="1" sizeWithCells="1">
                  <from>
                    <xdr:col>6</xdr:col>
                    <xdr:colOff>28575</xdr:colOff>
                    <xdr:row>174</xdr:row>
                    <xdr:rowOff>19050</xdr:rowOff>
                  </from>
                  <to>
                    <xdr:col>6</xdr:col>
                    <xdr:colOff>447675</xdr:colOff>
                    <xdr:row>174</xdr:row>
                    <xdr:rowOff>266700</xdr:rowOff>
                  </to>
                </anchor>
              </controlPr>
            </control>
          </mc:Choice>
        </mc:AlternateContent>
        <mc:AlternateContent xmlns:mc="http://schemas.openxmlformats.org/markup-compatibility/2006">
          <mc:Choice Requires="x14">
            <control shapeId="1970" r:id="rId529" name="Button 946">
              <controlPr defaultSize="0" print="0" autoFill="0" autoPict="0" macro="[0]!Pulsante175_Click">
                <anchor moveWithCells="1" sizeWithCells="1">
                  <from>
                    <xdr:col>0</xdr:col>
                    <xdr:colOff>28575</xdr:colOff>
                    <xdr:row>175</xdr:row>
                    <xdr:rowOff>19050</xdr:rowOff>
                  </from>
                  <to>
                    <xdr:col>0</xdr:col>
                    <xdr:colOff>447675</xdr:colOff>
                    <xdr:row>175</xdr:row>
                    <xdr:rowOff>266700</xdr:rowOff>
                  </to>
                </anchor>
              </controlPr>
            </control>
          </mc:Choice>
        </mc:AlternateContent>
        <mc:AlternateContent xmlns:mc="http://schemas.openxmlformats.org/markup-compatibility/2006">
          <mc:Choice Requires="x14">
            <control shapeId="1971" r:id="rId530" name="Button 947">
              <controlPr defaultSize="0" print="0" autoFill="0" autoPict="0" macro="[0]!Pulsante176_Click">
                <anchor moveWithCells="1" sizeWithCells="1">
                  <from>
                    <xdr:col>0</xdr:col>
                    <xdr:colOff>28575</xdr:colOff>
                    <xdr:row>176</xdr:row>
                    <xdr:rowOff>19050</xdr:rowOff>
                  </from>
                  <to>
                    <xdr:col>0</xdr:col>
                    <xdr:colOff>447675</xdr:colOff>
                    <xdr:row>176</xdr:row>
                    <xdr:rowOff>266700</xdr:rowOff>
                  </to>
                </anchor>
              </controlPr>
            </control>
          </mc:Choice>
        </mc:AlternateContent>
        <mc:AlternateContent xmlns:mc="http://schemas.openxmlformats.org/markup-compatibility/2006">
          <mc:Choice Requires="x14">
            <control shapeId="1972" r:id="rId531" name="Button 948">
              <controlPr defaultSize="0" print="0" autoFill="0" autoPict="0" macro="[0]!Pulsante175B_Click">
                <anchor moveWithCells="1" sizeWithCells="1">
                  <from>
                    <xdr:col>16</xdr:col>
                    <xdr:colOff>28575</xdr:colOff>
                    <xdr:row>175</xdr:row>
                    <xdr:rowOff>19050</xdr:rowOff>
                  </from>
                  <to>
                    <xdr:col>16</xdr:col>
                    <xdr:colOff>447675</xdr:colOff>
                    <xdr:row>175</xdr:row>
                    <xdr:rowOff>266700</xdr:rowOff>
                  </to>
                </anchor>
              </controlPr>
            </control>
          </mc:Choice>
        </mc:AlternateContent>
        <mc:AlternateContent xmlns:mc="http://schemas.openxmlformats.org/markup-compatibility/2006">
          <mc:Choice Requires="x14">
            <control shapeId="1973" r:id="rId532" name="Button 949">
              <controlPr defaultSize="0" print="0" autoFill="0" autoPict="0" macro="[0]!Pulsante176B_Click">
                <anchor moveWithCells="1" sizeWithCells="1">
                  <from>
                    <xdr:col>16</xdr:col>
                    <xdr:colOff>28575</xdr:colOff>
                    <xdr:row>176</xdr:row>
                    <xdr:rowOff>19050</xdr:rowOff>
                  </from>
                  <to>
                    <xdr:col>16</xdr:col>
                    <xdr:colOff>447675</xdr:colOff>
                    <xdr:row>176</xdr:row>
                    <xdr:rowOff>266700</xdr:rowOff>
                  </to>
                </anchor>
              </controlPr>
            </control>
          </mc:Choice>
        </mc:AlternateContent>
        <mc:AlternateContent xmlns:mc="http://schemas.openxmlformats.org/markup-compatibility/2006">
          <mc:Choice Requires="x14">
            <control shapeId="1974" r:id="rId533" name="Button 950">
              <controlPr defaultSize="0" print="0" autoFill="0" autoPict="0" macro="[0]!Pulsante_CANC_175_Click">
                <anchor moveWithCells="1" sizeWithCells="1">
                  <from>
                    <xdr:col>6</xdr:col>
                    <xdr:colOff>28575</xdr:colOff>
                    <xdr:row>175</xdr:row>
                    <xdr:rowOff>19050</xdr:rowOff>
                  </from>
                  <to>
                    <xdr:col>6</xdr:col>
                    <xdr:colOff>447675</xdr:colOff>
                    <xdr:row>175</xdr:row>
                    <xdr:rowOff>266700</xdr:rowOff>
                  </to>
                </anchor>
              </controlPr>
            </control>
          </mc:Choice>
        </mc:AlternateContent>
        <mc:AlternateContent xmlns:mc="http://schemas.openxmlformats.org/markup-compatibility/2006">
          <mc:Choice Requires="x14">
            <control shapeId="1975" r:id="rId534" name="Button 951">
              <controlPr defaultSize="0" print="0" autoFill="0" autoPict="0" macro="[0]!Pulsante_CANC_176_Click">
                <anchor moveWithCells="1" sizeWithCells="1">
                  <from>
                    <xdr:col>6</xdr:col>
                    <xdr:colOff>28575</xdr:colOff>
                    <xdr:row>176</xdr:row>
                    <xdr:rowOff>19050</xdr:rowOff>
                  </from>
                  <to>
                    <xdr:col>6</xdr:col>
                    <xdr:colOff>447675</xdr:colOff>
                    <xdr:row>176</xdr:row>
                    <xdr:rowOff>266700</xdr:rowOff>
                  </to>
                </anchor>
              </controlPr>
            </control>
          </mc:Choice>
        </mc:AlternateContent>
        <mc:AlternateContent xmlns:mc="http://schemas.openxmlformats.org/markup-compatibility/2006">
          <mc:Choice Requires="x14">
            <control shapeId="1976" r:id="rId535" name="Button 952">
              <controlPr defaultSize="0" print="0" autoFill="0" autoPict="0" macro="[0]!Pulsante177_Click">
                <anchor moveWithCells="1" sizeWithCells="1">
                  <from>
                    <xdr:col>0</xdr:col>
                    <xdr:colOff>28575</xdr:colOff>
                    <xdr:row>177</xdr:row>
                    <xdr:rowOff>19050</xdr:rowOff>
                  </from>
                  <to>
                    <xdr:col>0</xdr:col>
                    <xdr:colOff>447675</xdr:colOff>
                    <xdr:row>177</xdr:row>
                    <xdr:rowOff>266700</xdr:rowOff>
                  </to>
                </anchor>
              </controlPr>
            </control>
          </mc:Choice>
        </mc:AlternateContent>
        <mc:AlternateContent xmlns:mc="http://schemas.openxmlformats.org/markup-compatibility/2006">
          <mc:Choice Requires="x14">
            <control shapeId="1977" r:id="rId536" name="Button 953">
              <controlPr defaultSize="0" print="0" autoFill="0" autoPict="0" macro="[0]!Pulsante178_Click">
                <anchor moveWithCells="1" sizeWithCells="1">
                  <from>
                    <xdr:col>0</xdr:col>
                    <xdr:colOff>28575</xdr:colOff>
                    <xdr:row>178</xdr:row>
                    <xdr:rowOff>19050</xdr:rowOff>
                  </from>
                  <to>
                    <xdr:col>0</xdr:col>
                    <xdr:colOff>447675</xdr:colOff>
                    <xdr:row>178</xdr:row>
                    <xdr:rowOff>266700</xdr:rowOff>
                  </to>
                </anchor>
              </controlPr>
            </control>
          </mc:Choice>
        </mc:AlternateContent>
        <mc:AlternateContent xmlns:mc="http://schemas.openxmlformats.org/markup-compatibility/2006">
          <mc:Choice Requires="x14">
            <control shapeId="1978" r:id="rId537" name="Button 954">
              <controlPr defaultSize="0" print="0" autoFill="0" autoPict="0" macro="[0]!Pulsante177B_Click">
                <anchor moveWithCells="1" sizeWithCells="1">
                  <from>
                    <xdr:col>16</xdr:col>
                    <xdr:colOff>28575</xdr:colOff>
                    <xdr:row>177</xdr:row>
                    <xdr:rowOff>19050</xdr:rowOff>
                  </from>
                  <to>
                    <xdr:col>16</xdr:col>
                    <xdr:colOff>447675</xdr:colOff>
                    <xdr:row>177</xdr:row>
                    <xdr:rowOff>266700</xdr:rowOff>
                  </to>
                </anchor>
              </controlPr>
            </control>
          </mc:Choice>
        </mc:AlternateContent>
        <mc:AlternateContent xmlns:mc="http://schemas.openxmlformats.org/markup-compatibility/2006">
          <mc:Choice Requires="x14">
            <control shapeId="1979" r:id="rId538" name="Button 955">
              <controlPr defaultSize="0" print="0" autoFill="0" autoPict="0" macro="[0]!Pulsante178B_Click">
                <anchor moveWithCells="1" sizeWithCells="1">
                  <from>
                    <xdr:col>16</xdr:col>
                    <xdr:colOff>28575</xdr:colOff>
                    <xdr:row>178</xdr:row>
                    <xdr:rowOff>19050</xdr:rowOff>
                  </from>
                  <to>
                    <xdr:col>16</xdr:col>
                    <xdr:colOff>447675</xdr:colOff>
                    <xdr:row>178</xdr:row>
                    <xdr:rowOff>266700</xdr:rowOff>
                  </to>
                </anchor>
              </controlPr>
            </control>
          </mc:Choice>
        </mc:AlternateContent>
        <mc:AlternateContent xmlns:mc="http://schemas.openxmlformats.org/markup-compatibility/2006">
          <mc:Choice Requires="x14">
            <control shapeId="1980" r:id="rId539" name="Button 956">
              <controlPr defaultSize="0" print="0" autoFill="0" autoPict="0" macro="[0]!Pulsante_CANC_177_Click">
                <anchor moveWithCells="1" sizeWithCells="1">
                  <from>
                    <xdr:col>6</xdr:col>
                    <xdr:colOff>28575</xdr:colOff>
                    <xdr:row>177</xdr:row>
                    <xdr:rowOff>19050</xdr:rowOff>
                  </from>
                  <to>
                    <xdr:col>6</xdr:col>
                    <xdr:colOff>447675</xdr:colOff>
                    <xdr:row>177</xdr:row>
                    <xdr:rowOff>266700</xdr:rowOff>
                  </to>
                </anchor>
              </controlPr>
            </control>
          </mc:Choice>
        </mc:AlternateContent>
        <mc:AlternateContent xmlns:mc="http://schemas.openxmlformats.org/markup-compatibility/2006">
          <mc:Choice Requires="x14">
            <control shapeId="1981" r:id="rId540" name="Button 957">
              <controlPr defaultSize="0" print="0" autoFill="0" autoPict="0" macro="[0]!Pulsante_CANC_178_Click">
                <anchor moveWithCells="1" sizeWithCells="1">
                  <from>
                    <xdr:col>6</xdr:col>
                    <xdr:colOff>28575</xdr:colOff>
                    <xdr:row>178</xdr:row>
                    <xdr:rowOff>19050</xdr:rowOff>
                  </from>
                  <to>
                    <xdr:col>6</xdr:col>
                    <xdr:colOff>447675</xdr:colOff>
                    <xdr:row>179</xdr:row>
                    <xdr:rowOff>0</xdr:rowOff>
                  </to>
                </anchor>
              </controlPr>
            </control>
          </mc:Choice>
        </mc:AlternateContent>
        <mc:AlternateContent xmlns:mc="http://schemas.openxmlformats.org/markup-compatibility/2006">
          <mc:Choice Requires="x14">
            <control shapeId="1982" r:id="rId541" name="Button 958">
              <controlPr defaultSize="0" print="0" autoFill="0" autoPict="0" macro="[0]!Pulsante179_Click">
                <anchor moveWithCells="1" sizeWithCells="1">
                  <from>
                    <xdr:col>0</xdr:col>
                    <xdr:colOff>28575</xdr:colOff>
                    <xdr:row>179</xdr:row>
                    <xdr:rowOff>19050</xdr:rowOff>
                  </from>
                  <to>
                    <xdr:col>0</xdr:col>
                    <xdr:colOff>447675</xdr:colOff>
                    <xdr:row>179</xdr:row>
                    <xdr:rowOff>266700</xdr:rowOff>
                  </to>
                </anchor>
              </controlPr>
            </control>
          </mc:Choice>
        </mc:AlternateContent>
        <mc:AlternateContent xmlns:mc="http://schemas.openxmlformats.org/markup-compatibility/2006">
          <mc:Choice Requires="x14">
            <control shapeId="1983" r:id="rId542" name="Button 959">
              <controlPr defaultSize="0" print="0" autoFill="0" autoPict="0" macro="[0]!Pulsante180_Click">
                <anchor moveWithCells="1" sizeWithCells="1">
                  <from>
                    <xdr:col>0</xdr:col>
                    <xdr:colOff>28575</xdr:colOff>
                    <xdr:row>180</xdr:row>
                    <xdr:rowOff>19050</xdr:rowOff>
                  </from>
                  <to>
                    <xdr:col>0</xdr:col>
                    <xdr:colOff>447675</xdr:colOff>
                    <xdr:row>180</xdr:row>
                    <xdr:rowOff>266700</xdr:rowOff>
                  </to>
                </anchor>
              </controlPr>
            </control>
          </mc:Choice>
        </mc:AlternateContent>
        <mc:AlternateContent xmlns:mc="http://schemas.openxmlformats.org/markup-compatibility/2006">
          <mc:Choice Requires="x14">
            <control shapeId="1984" r:id="rId543" name="Button 960">
              <controlPr defaultSize="0" print="0" autoFill="0" autoPict="0" macro="[0]!Pulsante179B_Click">
                <anchor moveWithCells="1" sizeWithCells="1">
                  <from>
                    <xdr:col>16</xdr:col>
                    <xdr:colOff>28575</xdr:colOff>
                    <xdr:row>179</xdr:row>
                    <xdr:rowOff>19050</xdr:rowOff>
                  </from>
                  <to>
                    <xdr:col>16</xdr:col>
                    <xdr:colOff>447675</xdr:colOff>
                    <xdr:row>179</xdr:row>
                    <xdr:rowOff>266700</xdr:rowOff>
                  </to>
                </anchor>
              </controlPr>
            </control>
          </mc:Choice>
        </mc:AlternateContent>
        <mc:AlternateContent xmlns:mc="http://schemas.openxmlformats.org/markup-compatibility/2006">
          <mc:Choice Requires="x14">
            <control shapeId="1985" r:id="rId544" name="Button 961">
              <controlPr defaultSize="0" print="0" autoFill="0" autoPict="0" macro="[0]!Pulsante180B_Click">
                <anchor moveWithCells="1" sizeWithCells="1">
                  <from>
                    <xdr:col>16</xdr:col>
                    <xdr:colOff>28575</xdr:colOff>
                    <xdr:row>180</xdr:row>
                    <xdr:rowOff>19050</xdr:rowOff>
                  </from>
                  <to>
                    <xdr:col>16</xdr:col>
                    <xdr:colOff>447675</xdr:colOff>
                    <xdr:row>180</xdr:row>
                    <xdr:rowOff>266700</xdr:rowOff>
                  </to>
                </anchor>
              </controlPr>
            </control>
          </mc:Choice>
        </mc:AlternateContent>
        <mc:AlternateContent xmlns:mc="http://schemas.openxmlformats.org/markup-compatibility/2006">
          <mc:Choice Requires="x14">
            <control shapeId="1986" r:id="rId545" name="Button 962">
              <controlPr defaultSize="0" print="0" autoFill="0" autoPict="0" macro="[0]!Pulsante_CANC_179_Click">
                <anchor moveWithCells="1" sizeWithCells="1">
                  <from>
                    <xdr:col>6</xdr:col>
                    <xdr:colOff>28575</xdr:colOff>
                    <xdr:row>179</xdr:row>
                    <xdr:rowOff>19050</xdr:rowOff>
                  </from>
                  <to>
                    <xdr:col>6</xdr:col>
                    <xdr:colOff>447675</xdr:colOff>
                    <xdr:row>180</xdr:row>
                    <xdr:rowOff>0</xdr:rowOff>
                  </to>
                </anchor>
              </controlPr>
            </control>
          </mc:Choice>
        </mc:AlternateContent>
        <mc:AlternateContent xmlns:mc="http://schemas.openxmlformats.org/markup-compatibility/2006">
          <mc:Choice Requires="x14">
            <control shapeId="1987" r:id="rId546" name="Button 963">
              <controlPr defaultSize="0" print="0" autoFill="0" autoPict="0" macro="[0]!Pulsante_CANC_180_Click">
                <anchor moveWithCells="1" sizeWithCells="1">
                  <from>
                    <xdr:col>6</xdr:col>
                    <xdr:colOff>28575</xdr:colOff>
                    <xdr:row>180</xdr:row>
                    <xdr:rowOff>19050</xdr:rowOff>
                  </from>
                  <to>
                    <xdr:col>6</xdr:col>
                    <xdr:colOff>447675</xdr:colOff>
                    <xdr:row>181</xdr:row>
                    <xdr:rowOff>0</xdr:rowOff>
                  </to>
                </anchor>
              </controlPr>
            </control>
          </mc:Choice>
        </mc:AlternateContent>
        <mc:AlternateContent xmlns:mc="http://schemas.openxmlformats.org/markup-compatibility/2006">
          <mc:Choice Requires="x14">
            <control shapeId="1988" r:id="rId547" name="Button 964">
              <controlPr defaultSize="0" print="0" autoFill="0" autoPict="0" macro="[0]!Pulsante181_Click">
                <anchor moveWithCells="1" sizeWithCells="1">
                  <from>
                    <xdr:col>0</xdr:col>
                    <xdr:colOff>28575</xdr:colOff>
                    <xdr:row>181</xdr:row>
                    <xdr:rowOff>19050</xdr:rowOff>
                  </from>
                  <to>
                    <xdr:col>0</xdr:col>
                    <xdr:colOff>447675</xdr:colOff>
                    <xdr:row>181</xdr:row>
                    <xdr:rowOff>266700</xdr:rowOff>
                  </to>
                </anchor>
              </controlPr>
            </control>
          </mc:Choice>
        </mc:AlternateContent>
        <mc:AlternateContent xmlns:mc="http://schemas.openxmlformats.org/markup-compatibility/2006">
          <mc:Choice Requires="x14">
            <control shapeId="1989" r:id="rId548" name="Button 965">
              <controlPr defaultSize="0" print="0" autoFill="0" autoPict="0" macro="[0]!Pulsante182_Click">
                <anchor moveWithCells="1" sizeWithCells="1">
                  <from>
                    <xdr:col>0</xdr:col>
                    <xdr:colOff>28575</xdr:colOff>
                    <xdr:row>182</xdr:row>
                    <xdr:rowOff>19050</xdr:rowOff>
                  </from>
                  <to>
                    <xdr:col>0</xdr:col>
                    <xdr:colOff>447675</xdr:colOff>
                    <xdr:row>182</xdr:row>
                    <xdr:rowOff>266700</xdr:rowOff>
                  </to>
                </anchor>
              </controlPr>
            </control>
          </mc:Choice>
        </mc:AlternateContent>
        <mc:AlternateContent xmlns:mc="http://schemas.openxmlformats.org/markup-compatibility/2006">
          <mc:Choice Requires="x14">
            <control shapeId="1990" r:id="rId549" name="Button 966">
              <controlPr defaultSize="0" print="0" autoFill="0" autoPict="0" macro="[0]!Pulsante181B_Click">
                <anchor moveWithCells="1" sizeWithCells="1">
                  <from>
                    <xdr:col>16</xdr:col>
                    <xdr:colOff>28575</xdr:colOff>
                    <xdr:row>181</xdr:row>
                    <xdr:rowOff>19050</xdr:rowOff>
                  </from>
                  <to>
                    <xdr:col>16</xdr:col>
                    <xdr:colOff>447675</xdr:colOff>
                    <xdr:row>181</xdr:row>
                    <xdr:rowOff>266700</xdr:rowOff>
                  </to>
                </anchor>
              </controlPr>
            </control>
          </mc:Choice>
        </mc:AlternateContent>
        <mc:AlternateContent xmlns:mc="http://schemas.openxmlformats.org/markup-compatibility/2006">
          <mc:Choice Requires="x14">
            <control shapeId="1991" r:id="rId550" name="Button 967">
              <controlPr defaultSize="0" print="0" autoFill="0" autoPict="0" macro="[0]!Pulsante182B_Click">
                <anchor moveWithCells="1" sizeWithCells="1">
                  <from>
                    <xdr:col>16</xdr:col>
                    <xdr:colOff>28575</xdr:colOff>
                    <xdr:row>182</xdr:row>
                    <xdr:rowOff>19050</xdr:rowOff>
                  </from>
                  <to>
                    <xdr:col>16</xdr:col>
                    <xdr:colOff>447675</xdr:colOff>
                    <xdr:row>182</xdr:row>
                    <xdr:rowOff>266700</xdr:rowOff>
                  </to>
                </anchor>
              </controlPr>
            </control>
          </mc:Choice>
        </mc:AlternateContent>
        <mc:AlternateContent xmlns:mc="http://schemas.openxmlformats.org/markup-compatibility/2006">
          <mc:Choice Requires="x14">
            <control shapeId="1992" r:id="rId551" name="Button 968">
              <controlPr defaultSize="0" print="0" autoFill="0" autoPict="0" macro="[0]!Pulsante_CANC_181_Click">
                <anchor moveWithCells="1" sizeWithCells="1">
                  <from>
                    <xdr:col>6</xdr:col>
                    <xdr:colOff>28575</xdr:colOff>
                    <xdr:row>181</xdr:row>
                    <xdr:rowOff>19050</xdr:rowOff>
                  </from>
                  <to>
                    <xdr:col>6</xdr:col>
                    <xdr:colOff>447675</xdr:colOff>
                    <xdr:row>182</xdr:row>
                    <xdr:rowOff>0</xdr:rowOff>
                  </to>
                </anchor>
              </controlPr>
            </control>
          </mc:Choice>
        </mc:AlternateContent>
        <mc:AlternateContent xmlns:mc="http://schemas.openxmlformats.org/markup-compatibility/2006">
          <mc:Choice Requires="x14">
            <control shapeId="1993" r:id="rId552" name="Button 969">
              <controlPr defaultSize="0" print="0" autoFill="0" autoPict="0" macro="[0]!Pulsante_CANC_182_Click">
                <anchor moveWithCells="1" sizeWithCells="1">
                  <from>
                    <xdr:col>6</xdr:col>
                    <xdr:colOff>28575</xdr:colOff>
                    <xdr:row>182</xdr:row>
                    <xdr:rowOff>19050</xdr:rowOff>
                  </from>
                  <to>
                    <xdr:col>6</xdr:col>
                    <xdr:colOff>447675</xdr:colOff>
                    <xdr:row>183</xdr:row>
                    <xdr:rowOff>0</xdr:rowOff>
                  </to>
                </anchor>
              </controlPr>
            </control>
          </mc:Choice>
        </mc:AlternateContent>
        <mc:AlternateContent xmlns:mc="http://schemas.openxmlformats.org/markup-compatibility/2006">
          <mc:Choice Requires="x14">
            <control shapeId="1994" r:id="rId553" name="Button 970">
              <controlPr defaultSize="0" print="0" autoFill="0" autoPict="0" macro="[0]!Pulsante183_Click">
                <anchor moveWithCells="1" sizeWithCells="1">
                  <from>
                    <xdr:col>0</xdr:col>
                    <xdr:colOff>28575</xdr:colOff>
                    <xdr:row>183</xdr:row>
                    <xdr:rowOff>19050</xdr:rowOff>
                  </from>
                  <to>
                    <xdr:col>0</xdr:col>
                    <xdr:colOff>447675</xdr:colOff>
                    <xdr:row>183</xdr:row>
                    <xdr:rowOff>266700</xdr:rowOff>
                  </to>
                </anchor>
              </controlPr>
            </control>
          </mc:Choice>
        </mc:AlternateContent>
        <mc:AlternateContent xmlns:mc="http://schemas.openxmlformats.org/markup-compatibility/2006">
          <mc:Choice Requires="x14">
            <control shapeId="1995" r:id="rId554" name="Button 971">
              <controlPr defaultSize="0" print="0" autoFill="0" autoPict="0" macro="[0]!Pulsante184_Click">
                <anchor moveWithCells="1" sizeWithCells="1">
                  <from>
                    <xdr:col>0</xdr:col>
                    <xdr:colOff>28575</xdr:colOff>
                    <xdr:row>184</xdr:row>
                    <xdr:rowOff>19050</xdr:rowOff>
                  </from>
                  <to>
                    <xdr:col>0</xdr:col>
                    <xdr:colOff>447675</xdr:colOff>
                    <xdr:row>184</xdr:row>
                    <xdr:rowOff>266700</xdr:rowOff>
                  </to>
                </anchor>
              </controlPr>
            </control>
          </mc:Choice>
        </mc:AlternateContent>
        <mc:AlternateContent xmlns:mc="http://schemas.openxmlformats.org/markup-compatibility/2006">
          <mc:Choice Requires="x14">
            <control shapeId="1996" r:id="rId555" name="Button 972">
              <controlPr defaultSize="0" print="0" autoFill="0" autoPict="0" macro="[0]!Pulsante183B_Click">
                <anchor moveWithCells="1" sizeWithCells="1">
                  <from>
                    <xdr:col>16</xdr:col>
                    <xdr:colOff>28575</xdr:colOff>
                    <xdr:row>183</xdr:row>
                    <xdr:rowOff>19050</xdr:rowOff>
                  </from>
                  <to>
                    <xdr:col>16</xdr:col>
                    <xdr:colOff>447675</xdr:colOff>
                    <xdr:row>183</xdr:row>
                    <xdr:rowOff>266700</xdr:rowOff>
                  </to>
                </anchor>
              </controlPr>
            </control>
          </mc:Choice>
        </mc:AlternateContent>
        <mc:AlternateContent xmlns:mc="http://schemas.openxmlformats.org/markup-compatibility/2006">
          <mc:Choice Requires="x14">
            <control shapeId="1997" r:id="rId556" name="Button 973">
              <controlPr defaultSize="0" print="0" autoFill="0" autoPict="0" macro="[0]!Pulsante184B_Click">
                <anchor moveWithCells="1" sizeWithCells="1">
                  <from>
                    <xdr:col>16</xdr:col>
                    <xdr:colOff>28575</xdr:colOff>
                    <xdr:row>184</xdr:row>
                    <xdr:rowOff>19050</xdr:rowOff>
                  </from>
                  <to>
                    <xdr:col>16</xdr:col>
                    <xdr:colOff>447675</xdr:colOff>
                    <xdr:row>184</xdr:row>
                    <xdr:rowOff>266700</xdr:rowOff>
                  </to>
                </anchor>
              </controlPr>
            </control>
          </mc:Choice>
        </mc:AlternateContent>
        <mc:AlternateContent xmlns:mc="http://schemas.openxmlformats.org/markup-compatibility/2006">
          <mc:Choice Requires="x14">
            <control shapeId="1998" r:id="rId557" name="Button 974">
              <controlPr defaultSize="0" print="0" autoFill="0" autoPict="0" macro="[0]!Pulsante_CANC_183_Click">
                <anchor moveWithCells="1" sizeWithCells="1">
                  <from>
                    <xdr:col>6</xdr:col>
                    <xdr:colOff>28575</xdr:colOff>
                    <xdr:row>183</xdr:row>
                    <xdr:rowOff>19050</xdr:rowOff>
                  </from>
                  <to>
                    <xdr:col>6</xdr:col>
                    <xdr:colOff>447675</xdr:colOff>
                    <xdr:row>184</xdr:row>
                    <xdr:rowOff>0</xdr:rowOff>
                  </to>
                </anchor>
              </controlPr>
            </control>
          </mc:Choice>
        </mc:AlternateContent>
        <mc:AlternateContent xmlns:mc="http://schemas.openxmlformats.org/markup-compatibility/2006">
          <mc:Choice Requires="x14">
            <control shapeId="1999" r:id="rId558" name="Button 975">
              <controlPr defaultSize="0" print="0" autoFill="0" autoPict="0" macro="[0]!Pulsante_CANC_184_Click">
                <anchor moveWithCells="1" sizeWithCells="1">
                  <from>
                    <xdr:col>6</xdr:col>
                    <xdr:colOff>28575</xdr:colOff>
                    <xdr:row>184</xdr:row>
                    <xdr:rowOff>19050</xdr:rowOff>
                  </from>
                  <to>
                    <xdr:col>6</xdr:col>
                    <xdr:colOff>447675</xdr:colOff>
                    <xdr:row>185</xdr:row>
                    <xdr:rowOff>0</xdr:rowOff>
                  </to>
                </anchor>
              </controlPr>
            </control>
          </mc:Choice>
        </mc:AlternateContent>
        <mc:AlternateContent xmlns:mc="http://schemas.openxmlformats.org/markup-compatibility/2006">
          <mc:Choice Requires="x14">
            <control shapeId="2000" r:id="rId559" name="Button 976">
              <controlPr defaultSize="0" print="0" autoFill="0" autoPict="0" macro="[0]!Pulsante185_Click">
                <anchor moveWithCells="1" sizeWithCells="1">
                  <from>
                    <xdr:col>0</xdr:col>
                    <xdr:colOff>28575</xdr:colOff>
                    <xdr:row>185</xdr:row>
                    <xdr:rowOff>19050</xdr:rowOff>
                  </from>
                  <to>
                    <xdr:col>0</xdr:col>
                    <xdr:colOff>447675</xdr:colOff>
                    <xdr:row>185</xdr:row>
                    <xdr:rowOff>266700</xdr:rowOff>
                  </to>
                </anchor>
              </controlPr>
            </control>
          </mc:Choice>
        </mc:AlternateContent>
        <mc:AlternateContent xmlns:mc="http://schemas.openxmlformats.org/markup-compatibility/2006">
          <mc:Choice Requires="x14">
            <control shapeId="2001" r:id="rId560" name="Button 977">
              <controlPr defaultSize="0" print="0" autoFill="0" autoPict="0" macro="[0]!Pulsante186_Click">
                <anchor moveWithCells="1" sizeWithCells="1">
                  <from>
                    <xdr:col>0</xdr:col>
                    <xdr:colOff>28575</xdr:colOff>
                    <xdr:row>186</xdr:row>
                    <xdr:rowOff>19050</xdr:rowOff>
                  </from>
                  <to>
                    <xdr:col>0</xdr:col>
                    <xdr:colOff>447675</xdr:colOff>
                    <xdr:row>186</xdr:row>
                    <xdr:rowOff>266700</xdr:rowOff>
                  </to>
                </anchor>
              </controlPr>
            </control>
          </mc:Choice>
        </mc:AlternateContent>
        <mc:AlternateContent xmlns:mc="http://schemas.openxmlformats.org/markup-compatibility/2006">
          <mc:Choice Requires="x14">
            <control shapeId="2002" r:id="rId561" name="Button 978">
              <controlPr defaultSize="0" print="0" autoFill="0" autoPict="0" macro="[0]!Pulsante185B_Click">
                <anchor moveWithCells="1" sizeWithCells="1">
                  <from>
                    <xdr:col>16</xdr:col>
                    <xdr:colOff>28575</xdr:colOff>
                    <xdr:row>185</xdr:row>
                    <xdr:rowOff>19050</xdr:rowOff>
                  </from>
                  <to>
                    <xdr:col>16</xdr:col>
                    <xdr:colOff>447675</xdr:colOff>
                    <xdr:row>185</xdr:row>
                    <xdr:rowOff>266700</xdr:rowOff>
                  </to>
                </anchor>
              </controlPr>
            </control>
          </mc:Choice>
        </mc:AlternateContent>
        <mc:AlternateContent xmlns:mc="http://schemas.openxmlformats.org/markup-compatibility/2006">
          <mc:Choice Requires="x14">
            <control shapeId="2003" r:id="rId562" name="Button 979">
              <controlPr defaultSize="0" print="0" autoFill="0" autoPict="0" macro="[0]!Pulsante186B_Click">
                <anchor moveWithCells="1" sizeWithCells="1">
                  <from>
                    <xdr:col>16</xdr:col>
                    <xdr:colOff>28575</xdr:colOff>
                    <xdr:row>186</xdr:row>
                    <xdr:rowOff>19050</xdr:rowOff>
                  </from>
                  <to>
                    <xdr:col>16</xdr:col>
                    <xdr:colOff>447675</xdr:colOff>
                    <xdr:row>186</xdr:row>
                    <xdr:rowOff>266700</xdr:rowOff>
                  </to>
                </anchor>
              </controlPr>
            </control>
          </mc:Choice>
        </mc:AlternateContent>
        <mc:AlternateContent xmlns:mc="http://schemas.openxmlformats.org/markup-compatibility/2006">
          <mc:Choice Requires="x14">
            <control shapeId="2004" r:id="rId563" name="Button 980">
              <controlPr defaultSize="0" print="0" autoFill="0" autoPict="0" macro="[0]!Pulsante_CANC_185_Click">
                <anchor moveWithCells="1" sizeWithCells="1">
                  <from>
                    <xdr:col>6</xdr:col>
                    <xdr:colOff>28575</xdr:colOff>
                    <xdr:row>185</xdr:row>
                    <xdr:rowOff>19050</xdr:rowOff>
                  </from>
                  <to>
                    <xdr:col>6</xdr:col>
                    <xdr:colOff>447675</xdr:colOff>
                    <xdr:row>186</xdr:row>
                    <xdr:rowOff>0</xdr:rowOff>
                  </to>
                </anchor>
              </controlPr>
            </control>
          </mc:Choice>
        </mc:AlternateContent>
        <mc:AlternateContent xmlns:mc="http://schemas.openxmlformats.org/markup-compatibility/2006">
          <mc:Choice Requires="x14">
            <control shapeId="2005" r:id="rId564" name="Button 981">
              <controlPr defaultSize="0" print="0" autoFill="0" autoPict="0" macro="[0]!Pulsante_CANC_186_Click">
                <anchor moveWithCells="1" sizeWithCells="1">
                  <from>
                    <xdr:col>6</xdr:col>
                    <xdr:colOff>28575</xdr:colOff>
                    <xdr:row>186</xdr:row>
                    <xdr:rowOff>19050</xdr:rowOff>
                  </from>
                  <to>
                    <xdr:col>6</xdr:col>
                    <xdr:colOff>447675</xdr:colOff>
                    <xdr:row>186</xdr:row>
                    <xdr:rowOff>266700</xdr:rowOff>
                  </to>
                </anchor>
              </controlPr>
            </control>
          </mc:Choice>
        </mc:AlternateContent>
        <mc:AlternateContent xmlns:mc="http://schemas.openxmlformats.org/markup-compatibility/2006">
          <mc:Choice Requires="x14">
            <control shapeId="2006" r:id="rId565" name="Button 982">
              <controlPr defaultSize="0" print="0" autoFill="0" autoPict="0" macro="[0]!Pulsante187_Click">
                <anchor moveWithCells="1" sizeWithCells="1">
                  <from>
                    <xdr:col>0</xdr:col>
                    <xdr:colOff>28575</xdr:colOff>
                    <xdr:row>187</xdr:row>
                    <xdr:rowOff>19050</xdr:rowOff>
                  </from>
                  <to>
                    <xdr:col>0</xdr:col>
                    <xdr:colOff>447675</xdr:colOff>
                    <xdr:row>187</xdr:row>
                    <xdr:rowOff>266700</xdr:rowOff>
                  </to>
                </anchor>
              </controlPr>
            </control>
          </mc:Choice>
        </mc:AlternateContent>
        <mc:AlternateContent xmlns:mc="http://schemas.openxmlformats.org/markup-compatibility/2006">
          <mc:Choice Requires="x14">
            <control shapeId="2007" r:id="rId566" name="Button 983">
              <controlPr defaultSize="0" print="0" autoFill="0" autoPict="0" macro="[0]!Pulsante188_Click">
                <anchor moveWithCells="1" sizeWithCells="1">
                  <from>
                    <xdr:col>0</xdr:col>
                    <xdr:colOff>28575</xdr:colOff>
                    <xdr:row>188</xdr:row>
                    <xdr:rowOff>19050</xdr:rowOff>
                  </from>
                  <to>
                    <xdr:col>0</xdr:col>
                    <xdr:colOff>447675</xdr:colOff>
                    <xdr:row>188</xdr:row>
                    <xdr:rowOff>266700</xdr:rowOff>
                  </to>
                </anchor>
              </controlPr>
            </control>
          </mc:Choice>
        </mc:AlternateContent>
        <mc:AlternateContent xmlns:mc="http://schemas.openxmlformats.org/markup-compatibility/2006">
          <mc:Choice Requires="x14">
            <control shapeId="2008" r:id="rId567" name="Button 984">
              <controlPr defaultSize="0" print="0" autoFill="0" autoPict="0" macro="[0]!Pulsante187B_Click">
                <anchor moveWithCells="1" sizeWithCells="1">
                  <from>
                    <xdr:col>16</xdr:col>
                    <xdr:colOff>28575</xdr:colOff>
                    <xdr:row>187</xdr:row>
                    <xdr:rowOff>19050</xdr:rowOff>
                  </from>
                  <to>
                    <xdr:col>16</xdr:col>
                    <xdr:colOff>447675</xdr:colOff>
                    <xdr:row>187</xdr:row>
                    <xdr:rowOff>266700</xdr:rowOff>
                  </to>
                </anchor>
              </controlPr>
            </control>
          </mc:Choice>
        </mc:AlternateContent>
        <mc:AlternateContent xmlns:mc="http://schemas.openxmlformats.org/markup-compatibility/2006">
          <mc:Choice Requires="x14">
            <control shapeId="2009" r:id="rId568" name="Button 985">
              <controlPr defaultSize="0" print="0" autoFill="0" autoPict="0" macro="[0]!Pulsante188B_Click">
                <anchor moveWithCells="1" sizeWithCells="1">
                  <from>
                    <xdr:col>16</xdr:col>
                    <xdr:colOff>28575</xdr:colOff>
                    <xdr:row>188</xdr:row>
                    <xdr:rowOff>19050</xdr:rowOff>
                  </from>
                  <to>
                    <xdr:col>16</xdr:col>
                    <xdr:colOff>447675</xdr:colOff>
                    <xdr:row>188</xdr:row>
                    <xdr:rowOff>266700</xdr:rowOff>
                  </to>
                </anchor>
              </controlPr>
            </control>
          </mc:Choice>
        </mc:AlternateContent>
        <mc:AlternateContent xmlns:mc="http://schemas.openxmlformats.org/markup-compatibility/2006">
          <mc:Choice Requires="x14">
            <control shapeId="2010" r:id="rId569" name="Button 986">
              <controlPr defaultSize="0" print="0" autoFill="0" autoPict="0" macro="[0]!Pulsante_CANC_187_Click">
                <anchor moveWithCells="1" sizeWithCells="1">
                  <from>
                    <xdr:col>6</xdr:col>
                    <xdr:colOff>28575</xdr:colOff>
                    <xdr:row>187</xdr:row>
                    <xdr:rowOff>19050</xdr:rowOff>
                  </from>
                  <to>
                    <xdr:col>6</xdr:col>
                    <xdr:colOff>447675</xdr:colOff>
                    <xdr:row>187</xdr:row>
                    <xdr:rowOff>266700</xdr:rowOff>
                  </to>
                </anchor>
              </controlPr>
            </control>
          </mc:Choice>
        </mc:AlternateContent>
        <mc:AlternateContent xmlns:mc="http://schemas.openxmlformats.org/markup-compatibility/2006">
          <mc:Choice Requires="x14">
            <control shapeId="2011" r:id="rId570" name="Button 987">
              <controlPr defaultSize="0" print="0" autoFill="0" autoPict="0" macro="[0]!Pulsante_CANC_188_Click">
                <anchor moveWithCells="1" sizeWithCells="1">
                  <from>
                    <xdr:col>6</xdr:col>
                    <xdr:colOff>28575</xdr:colOff>
                    <xdr:row>188</xdr:row>
                    <xdr:rowOff>19050</xdr:rowOff>
                  </from>
                  <to>
                    <xdr:col>6</xdr:col>
                    <xdr:colOff>447675</xdr:colOff>
                    <xdr:row>188</xdr:row>
                    <xdr:rowOff>266700</xdr:rowOff>
                  </to>
                </anchor>
              </controlPr>
            </control>
          </mc:Choice>
        </mc:AlternateContent>
        <mc:AlternateContent xmlns:mc="http://schemas.openxmlformats.org/markup-compatibility/2006">
          <mc:Choice Requires="x14">
            <control shapeId="2012" r:id="rId571" name="Button 988">
              <controlPr defaultSize="0" print="0" autoFill="0" autoPict="0" macro="[0]!Pulsante189_Click">
                <anchor moveWithCells="1" sizeWithCells="1">
                  <from>
                    <xdr:col>0</xdr:col>
                    <xdr:colOff>28575</xdr:colOff>
                    <xdr:row>189</xdr:row>
                    <xdr:rowOff>19050</xdr:rowOff>
                  </from>
                  <to>
                    <xdr:col>0</xdr:col>
                    <xdr:colOff>447675</xdr:colOff>
                    <xdr:row>189</xdr:row>
                    <xdr:rowOff>266700</xdr:rowOff>
                  </to>
                </anchor>
              </controlPr>
            </control>
          </mc:Choice>
        </mc:AlternateContent>
        <mc:AlternateContent xmlns:mc="http://schemas.openxmlformats.org/markup-compatibility/2006">
          <mc:Choice Requires="x14">
            <control shapeId="2013" r:id="rId572" name="Button 989">
              <controlPr defaultSize="0" print="0" autoFill="0" autoPict="0" macro="[0]!Pulsante190_Click">
                <anchor moveWithCells="1" sizeWithCells="1">
                  <from>
                    <xdr:col>0</xdr:col>
                    <xdr:colOff>28575</xdr:colOff>
                    <xdr:row>190</xdr:row>
                    <xdr:rowOff>19050</xdr:rowOff>
                  </from>
                  <to>
                    <xdr:col>0</xdr:col>
                    <xdr:colOff>447675</xdr:colOff>
                    <xdr:row>190</xdr:row>
                    <xdr:rowOff>266700</xdr:rowOff>
                  </to>
                </anchor>
              </controlPr>
            </control>
          </mc:Choice>
        </mc:AlternateContent>
        <mc:AlternateContent xmlns:mc="http://schemas.openxmlformats.org/markup-compatibility/2006">
          <mc:Choice Requires="x14">
            <control shapeId="2014" r:id="rId573" name="Button 990">
              <controlPr defaultSize="0" print="0" autoFill="0" autoPict="0" macro="[0]!Pulsante189B_Click">
                <anchor moveWithCells="1" sizeWithCells="1">
                  <from>
                    <xdr:col>16</xdr:col>
                    <xdr:colOff>28575</xdr:colOff>
                    <xdr:row>189</xdr:row>
                    <xdr:rowOff>19050</xdr:rowOff>
                  </from>
                  <to>
                    <xdr:col>16</xdr:col>
                    <xdr:colOff>447675</xdr:colOff>
                    <xdr:row>189</xdr:row>
                    <xdr:rowOff>266700</xdr:rowOff>
                  </to>
                </anchor>
              </controlPr>
            </control>
          </mc:Choice>
        </mc:AlternateContent>
        <mc:AlternateContent xmlns:mc="http://schemas.openxmlformats.org/markup-compatibility/2006">
          <mc:Choice Requires="x14">
            <control shapeId="2015" r:id="rId574" name="Button 991">
              <controlPr defaultSize="0" print="0" autoFill="0" autoPict="0" macro="[0]!Pulsante190B_Click">
                <anchor moveWithCells="1" sizeWithCells="1">
                  <from>
                    <xdr:col>16</xdr:col>
                    <xdr:colOff>28575</xdr:colOff>
                    <xdr:row>190</xdr:row>
                    <xdr:rowOff>19050</xdr:rowOff>
                  </from>
                  <to>
                    <xdr:col>16</xdr:col>
                    <xdr:colOff>447675</xdr:colOff>
                    <xdr:row>190</xdr:row>
                    <xdr:rowOff>266700</xdr:rowOff>
                  </to>
                </anchor>
              </controlPr>
            </control>
          </mc:Choice>
        </mc:AlternateContent>
        <mc:AlternateContent xmlns:mc="http://schemas.openxmlformats.org/markup-compatibility/2006">
          <mc:Choice Requires="x14">
            <control shapeId="2016" r:id="rId575" name="Button 992">
              <controlPr defaultSize="0" print="0" autoFill="0" autoPict="0" macro="[0]!Pulsante_CANC_189_Click">
                <anchor moveWithCells="1" sizeWithCells="1">
                  <from>
                    <xdr:col>6</xdr:col>
                    <xdr:colOff>28575</xdr:colOff>
                    <xdr:row>189</xdr:row>
                    <xdr:rowOff>19050</xdr:rowOff>
                  </from>
                  <to>
                    <xdr:col>6</xdr:col>
                    <xdr:colOff>447675</xdr:colOff>
                    <xdr:row>189</xdr:row>
                    <xdr:rowOff>266700</xdr:rowOff>
                  </to>
                </anchor>
              </controlPr>
            </control>
          </mc:Choice>
        </mc:AlternateContent>
        <mc:AlternateContent xmlns:mc="http://schemas.openxmlformats.org/markup-compatibility/2006">
          <mc:Choice Requires="x14">
            <control shapeId="2017" r:id="rId576" name="Button 993">
              <controlPr defaultSize="0" print="0" autoFill="0" autoPict="0" macro="[0]!Pulsante_CANC_190_Click">
                <anchor moveWithCells="1" sizeWithCells="1">
                  <from>
                    <xdr:col>6</xdr:col>
                    <xdr:colOff>28575</xdr:colOff>
                    <xdr:row>190</xdr:row>
                    <xdr:rowOff>19050</xdr:rowOff>
                  </from>
                  <to>
                    <xdr:col>6</xdr:col>
                    <xdr:colOff>447675</xdr:colOff>
                    <xdr:row>190</xdr:row>
                    <xdr:rowOff>266700</xdr:rowOff>
                  </to>
                </anchor>
              </controlPr>
            </control>
          </mc:Choice>
        </mc:AlternateContent>
        <mc:AlternateContent xmlns:mc="http://schemas.openxmlformats.org/markup-compatibility/2006">
          <mc:Choice Requires="x14">
            <control shapeId="2018" r:id="rId577" name="Button 994">
              <controlPr defaultSize="0" print="0" autoFill="0" autoPict="0" macro="[0]!Pulsante191_Click">
                <anchor moveWithCells="1" sizeWithCells="1">
                  <from>
                    <xdr:col>0</xdr:col>
                    <xdr:colOff>28575</xdr:colOff>
                    <xdr:row>191</xdr:row>
                    <xdr:rowOff>19050</xdr:rowOff>
                  </from>
                  <to>
                    <xdr:col>0</xdr:col>
                    <xdr:colOff>447675</xdr:colOff>
                    <xdr:row>191</xdr:row>
                    <xdr:rowOff>266700</xdr:rowOff>
                  </to>
                </anchor>
              </controlPr>
            </control>
          </mc:Choice>
        </mc:AlternateContent>
        <mc:AlternateContent xmlns:mc="http://schemas.openxmlformats.org/markup-compatibility/2006">
          <mc:Choice Requires="x14">
            <control shapeId="2019" r:id="rId578" name="Button 995">
              <controlPr defaultSize="0" print="0" autoFill="0" autoPict="0" macro="[0]!Pulsante192_Click">
                <anchor moveWithCells="1" sizeWithCells="1">
                  <from>
                    <xdr:col>0</xdr:col>
                    <xdr:colOff>28575</xdr:colOff>
                    <xdr:row>192</xdr:row>
                    <xdr:rowOff>19050</xdr:rowOff>
                  </from>
                  <to>
                    <xdr:col>0</xdr:col>
                    <xdr:colOff>447675</xdr:colOff>
                    <xdr:row>192</xdr:row>
                    <xdr:rowOff>266700</xdr:rowOff>
                  </to>
                </anchor>
              </controlPr>
            </control>
          </mc:Choice>
        </mc:AlternateContent>
        <mc:AlternateContent xmlns:mc="http://schemas.openxmlformats.org/markup-compatibility/2006">
          <mc:Choice Requires="x14">
            <control shapeId="2020" r:id="rId579" name="Button 996">
              <controlPr defaultSize="0" print="0" autoFill="0" autoPict="0" macro="[0]!Pulsante191B_Click">
                <anchor moveWithCells="1" sizeWithCells="1">
                  <from>
                    <xdr:col>16</xdr:col>
                    <xdr:colOff>28575</xdr:colOff>
                    <xdr:row>191</xdr:row>
                    <xdr:rowOff>19050</xdr:rowOff>
                  </from>
                  <to>
                    <xdr:col>16</xdr:col>
                    <xdr:colOff>447675</xdr:colOff>
                    <xdr:row>191</xdr:row>
                    <xdr:rowOff>266700</xdr:rowOff>
                  </to>
                </anchor>
              </controlPr>
            </control>
          </mc:Choice>
        </mc:AlternateContent>
        <mc:AlternateContent xmlns:mc="http://schemas.openxmlformats.org/markup-compatibility/2006">
          <mc:Choice Requires="x14">
            <control shapeId="2021" r:id="rId580" name="Button 997">
              <controlPr defaultSize="0" print="0" autoFill="0" autoPict="0" macro="[0]!Pulsante192B_Click">
                <anchor moveWithCells="1" sizeWithCells="1">
                  <from>
                    <xdr:col>16</xdr:col>
                    <xdr:colOff>28575</xdr:colOff>
                    <xdr:row>192</xdr:row>
                    <xdr:rowOff>19050</xdr:rowOff>
                  </from>
                  <to>
                    <xdr:col>16</xdr:col>
                    <xdr:colOff>447675</xdr:colOff>
                    <xdr:row>192</xdr:row>
                    <xdr:rowOff>266700</xdr:rowOff>
                  </to>
                </anchor>
              </controlPr>
            </control>
          </mc:Choice>
        </mc:AlternateContent>
        <mc:AlternateContent xmlns:mc="http://schemas.openxmlformats.org/markup-compatibility/2006">
          <mc:Choice Requires="x14">
            <control shapeId="2022" r:id="rId581" name="Button 998">
              <controlPr defaultSize="0" print="0" autoFill="0" autoPict="0" macro="[0]!Pulsante_CANC_191_Click">
                <anchor moveWithCells="1" sizeWithCells="1">
                  <from>
                    <xdr:col>6</xdr:col>
                    <xdr:colOff>28575</xdr:colOff>
                    <xdr:row>191</xdr:row>
                    <xdr:rowOff>19050</xdr:rowOff>
                  </from>
                  <to>
                    <xdr:col>6</xdr:col>
                    <xdr:colOff>447675</xdr:colOff>
                    <xdr:row>191</xdr:row>
                    <xdr:rowOff>266700</xdr:rowOff>
                  </to>
                </anchor>
              </controlPr>
            </control>
          </mc:Choice>
        </mc:AlternateContent>
        <mc:AlternateContent xmlns:mc="http://schemas.openxmlformats.org/markup-compatibility/2006">
          <mc:Choice Requires="x14">
            <control shapeId="2023" r:id="rId582" name="Button 999">
              <controlPr defaultSize="0" print="0" autoFill="0" autoPict="0" macro="[0]!Pulsante_CANC_192_Click">
                <anchor moveWithCells="1" sizeWithCells="1">
                  <from>
                    <xdr:col>6</xdr:col>
                    <xdr:colOff>28575</xdr:colOff>
                    <xdr:row>192</xdr:row>
                    <xdr:rowOff>19050</xdr:rowOff>
                  </from>
                  <to>
                    <xdr:col>6</xdr:col>
                    <xdr:colOff>447675</xdr:colOff>
                    <xdr:row>192</xdr:row>
                    <xdr:rowOff>266700</xdr:rowOff>
                  </to>
                </anchor>
              </controlPr>
            </control>
          </mc:Choice>
        </mc:AlternateContent>
        <mc:AlternateContent xmlns:mc="http://schemas.openxmlformats.org/markup-compatibility/2006">
          <mc:Choice Requires="x14">
            <control shapeId="2024" r:id="rId583" name="Button 1000">
              <controlPr defaultSize="0" print="0" autoFill="0" autoPict="0" macro="[0]!Pulsante193_Click">
                <anchor moveWithCells="1" sizeWithCells="1">
                  <from>
                    <xdr:col>0</xdr:col>
                    <xdr:colOff>28575</xdr:colOff>
                    <xdr:row>193</xdr:row>
                    <xdr:rowOff>19050</xdr:rowOff>
                  </from>
                  <to>
                    <xdr:col>0</xdr:col>
                    <xdr:colOff>447675</xdr:colOff>
                    <xdr:row>193</xdr:row>
                    <xdr:rowOff>266700</xdr:rowOff>
                  </to>
                </anchor>
              </controlPr>
            </control>
          </mc:Choice>
        </mc:AlternateContent>
        <mc:AlternateContent xmlns:mc="http://schemas.openxmlformats.org/markup-compatibility/2006">
          <mc:Choice Requires="x14">
            <control shapeId="2025" r:id="rId584" name="Button 1001">
              <controlPr defaultSize="0" print="0" autoFill="0" autoPict="0" macro="[0]!Pulsante194_Click">
                <anchor moveWithCells="1" sizeWithCells="1">
                  <from>
                    <xdr:col>0</xdr:col>
                    <xdr:colOff>28575</xdr:colOff>
                    <xdr:row>194</xdr:row>
                    <xdr:rowOff>19050</xdr:rowOff>
                  </from>
                  <to>
                    <xdr:col>0</xdr:col>
                    <xdr:colOff>447675</xdr:colOff>
                    <xdr:row>194</xdr:row>
                    <xdr:rowOff>266700</xdr:rowOff>
                  </to>
                </anchor>
              </controlPr>
            </control>
          </mc:Choice>
        </mc:AlternateContent>
        <mc:AlternateContent xmlns:mc="http://schemas.openxmlformats.org/markup-compatibility/2006">
          <mc:Choice Requires="x14">
            <control shapeId="2026" r:id="rId585" name="Button 1002">
              <controlPr defaultSize="0" print="0" autoFill="0" autoPict="0" macro="[0]!Pulsante193B_Click">
                <anchor moveWithCells="1" sizeWithCells="1">
                  <from>
                    <xdr:col>16</xdr:col>
                    <xdr:colOff>28575</xdr:colOff>
                    <xdr:row>193</xdr:row>
                    <xdr:rowOff>19050</xdr:rowOff>
                  </from>
                  <to>
                    <xdr:col>16</xdr:col>
                    <xdr:colOff>447675</xdr:colOff>
                    <xdr:row>193</xdr:row>
                    <xdr:rowOff>266700</xdr:rowOff>
                  </to>
                </anchor>
              </controlPr>
            </control>
          </mc:Choice>
        </mc:AlternateContent>
        <mc:AlternateContent xmlns:mc="http://schemas.openxmlformats.org/markup-compatibility/2006">
          <mc:Choice Requires="x14">
            <control shapeId="2027" r:id="rId586" name="Button 1003">
              <controlPr defaultSize="0" print="0" autoFill="0" autoPict="0" macro="[0]!Pulsante194B_Click">
                <anchor moveWithCells="1" sizeWithCells="1">
                  <from>
                    <xdr:col>16</xdr:col>
                    <xdr:colOff>28575</xdr:colOff>
                    <xdr:row>194</xdr:row>
                    <xdr:rowOff>19050</xdr:rowOff>
                  </from>
                  <to>
                    <xdr:col>16</xdr:col>
                    <xdr:colOff>447675</xdr:colOff>
                    <xdr:row>194</xdr:row>
                    <xdr:rowOff>266700</xdr:rowOff>
                  </to>
                </anchor>
              </controlPr>
            </control>
          </mc:Choice>
        </mc:AlternateContent>
        <mc:AlternateContent xmlns:mc="http://schemas.openxmlformats.org/markup-compatibility/2006">
          <mc:Choice Requires="x14">
            <control shapeId="2028" r:id="rId587" name="Button 1004">
              <controlPr defaultSize="0" print="0" autoFill="0" autoPict="0" macro="[0]!Pulsante_CANC_193_Click">
                <anchor moveWithCells="1" sizeWithCells="1">
                  <from>
                    <xdr:col>6</xdr:col>
                    <xdr:colOff>28575</xdr:colOff>
                    <xdr:row>193</xdr:row>
                    <xdr:rowOff>19050</xdr:rowOff>
                  </from>
                  <to>
                    <xdr:col>6</xdr:col>
                    <xdr:colOff>447675</xdr:colOff>
                    <xdr:row>193</xdr:row>
                    <xdr:rowOff>266700</xdr:rowOff>
                  </to>
                </anchor>
              </controlPr>
            </control>
          </mc:Choice>
        </mc:AlternateContent>
        <mc:AlternateContent xmlns:mc="http://schemas.openxmlformats.org/markup-compatibility/2006">
          <mc:Choice Requires="x14">
            <control shapeId="2029" r:id="rId588" name="Button 1005">
              <controlPr defaultSize="0" print="0" autoFill="0" autoPict="0" macro="[0]!Pulsante_CANC_194_Click">
                <anchor moveWithCells="1" sizeWithCells="1">
                  <from>
                    <xdr:col>6</xdr:col>
                    <xdr:colOff>28575</xdr:colOff>
                    <xdr:row>194</xdr:row>
                    <xdr:rowOff>19050</xdr:rowOff>
                  </from>
                  <to>
                    <xdr:col>6</xdr:col>
                    <xdr:colOff>447675</xdr:colOff>
                    <xdr:row>194</xdr:row>
                    <xdr:rowOff>266700</xdr:rowOff>
                  </to>
                </anchor>
              </controlPr>
            </control>
          </mc:Choice>
        </mc:AlternateContent>
        <mc:AlternateContent xmlns:mc="http://schemas.openxmlformats.org/markup-compatibility/2006">
          <mc:Choice Requires="x14">
            <control shapeId="2030" r:id="rId589" name="Button 1006">
              <controlPr defaultSize="0" print="0" autoFill="0" autoPict="0" macro="[0]!Pulsante195_Click">
                <anchor moveWithCells="1" sizeWithCells="1">
                  <from>
                    <xdr:col>0</xdr:col>
                    <xdr:colOff>28575</xdr:colOff>
                    <xdr:row>195</xdr:row>
                    <xdr:rowOff>19050</xdr:rowOff>
                  </from>
                  <to>
                    <xdr:col>0</xdr:col>
                    <xdr:colOff>447675</xdr:colOff>
                    <xdr:row>195</xdr:row>
                    <xdr:rowOff>266700</xdr:rowOff>
                  </to>
                </anchor>
              </controlPr>
            </control>
          </mc:Choice>
        </mc:AlternateContent>
        <mc:AlternateContent xmlns:mc="http://schemas.openxmlformats.org/markup-compatibility/2006">
          <mc:Choice Requires="x14">
            <control shapeId="2031" r:id="rId590" name="Button 1007">
              <controlPr defaultSize="0" print="0" autoFill="0" autoPict="0" macro="[0]!Pulsante196_Click">
                <anchor moveWithCells="1" sizeWithCells="1">
                  <from>
                    <xdr:col>0</xdr:col>
                    <xdr:colOff>28575</xdr:colOff>
                    <xdr:row>196</xdr:row>
                    <xdr:rowOff>19050</xdr:rowOff>
                  </from>
                  <to>
                    <xdr:col>0</xdr:col>
                    <xdr:colOff>447675</xdr:colOff>
                    <xdr:row>196</xdr:row>
                    <xdr:rowOff>266700</xdr:rowOff>
                  </to>
                </anchor>
              </controlPr>
            </control>
          </mc:Choice>
        </mc:AlternateContent>
        <mc:AlternateContent xmlns:mc="http://schemas.openxmlformats.org/markup-compatibility/2006">
          <mc:Choice Requires="x14">
            <control shapeId="2032" r:id="rId591" name="Button 1008">
              <controlPr defaultSize="0" print="0" autoFill="0" autoPict="0" macro="[0]!Pulsante195B_Click">
                <anchor moveWithCells="1" sizeWithCells="1">
                  <from>
                    <xdr:col>16</xdr:col>
                    <xdr:colOff>28575</xdr:colOff>
                    <xdr:row>195</xdr:row>
                    <xdr:rowOff>19050</xdr:rowOff>
                  </from>
                  <to>
                    <xdr:col>16</xdr:col>
                    <xdr:colOff>447675</xdr:colOff>
                    <xdr:row>195</xdr:row>
                    <xdr:rowOff>266700</xdr:rowOff>
                  </to>
                </anchor>
              </controlPr>
            </control>
          </mc:Choice>
        </mc:AlternateContent>
        <mc:AlternateContent xmlns:mc="http://schemas.openxmlformats.org/markup-compatibility/2006">
          <mc:Choice Requires="x14">
            <control shapeId="2033" r:id="rId592" name="Button 1009">
              <controlPr defaultSize="0" print="0" autoFill="0" autoPict="0" macro="[0]!Pulsante196B_Click">
                <anchor moveWithCells="1" sizeWithCells="1">
                  <from>
                    <xdr:col>16</xdr:col>
                    <xdr:colOff>28575</xdr:colOff>
                    <xdr:row>196</xdr:row>
                    <xdr:rowOff>19050</xdr:rowOff>
                  </from>
                  <to>
                    <xdr:col>16</xdr:col>
                    <xdr:colOff>447675</xdr:colOff>
                    <xdr:row>196</xdr:row>
                    <xdr:rowOff>266700</xdr:rowOff>
                  </to>
                </anchor>
              </controlPr>
            </control>
          </mc:Choice>
        </mc:AlternateContent>
        <mc:AlternateContent xmlns:mc="http://schemas.openxmlformats.org/markup-compatibility/2006">
          <mc:Choice Requires="x14">
            <control shapeId="2034" r:id="rId593" name="Button 1010">
              <controlPr defaultSize="0" print="0" autoFill="0" autoPict="0" macro="[0]!Pulsante_CANC_195_Click">
                <anchor moveWithCells="1" sizeWithCells="1">
                  <from>
                    <xdr:col>6</xdr:col>
                    <xdr:colOff>28575</xdr:colOff>
                    <xdr:row>195</xdr:row>
                    <xdr:rowOff>19050</xdr:rowOff>
                  </from>
                  <to>
                    <xdr:col>6</xdr:col>
                    <xdr:colOff>447675</xdr:colOff>
                    <xdr:row>195</xdr:row>
                    <xdr:rowOff>266700</xdr:rowOff>
                  </to>
                </anchor>
              </controlPr>
            </control>
          </mc:Choice>
        </mc:AlternateContent>
        <mc:AlternateContent xmlns:mc="http://schemas.openxmlformats.org/markup-compatibility/2006">
          <mc:Choice Requires="x14">
            <control shapeId="2035" r:id="rId594" name="Button 1011">
              <controlPr defaultSize="0" print="0" autoFill="0" autoPict="0" macro="[0]!Pulsante_CANC_196_Click">
                <anchor moveWithCells="1" sizeWithCells="1">
                  <from>
                    <xdr:col>6</xdr:col>
                    <xdr:colOff>28575</xdr:colOff>
                    <xdr:row>196</xdr:row>
                    <xdr:rowOff>19050</xdr:rowOff>
                  </from>
                  <to>
                    <xdr:col>6</xdr:col>
                    <xdr:colOff>447675</xdr:colOff>
                    <xdr:row>196</xdr:row>
                    <xdr:rowOff>266700</xdr:rowOff>
                  </to>
                </anchor>
              </controlPr>
            </control>
          </mc:Choice>
        </mc:AlternateContent>
        <mc:AlternateContent xmlns:mc="http://schemas.openxmlformats.org/markup-compatibility/2006">
          <mc:Choice Requires="x14">
            <control shapeId="2036" r:id="rId595" name="Button 1012">
              <controlPr defaultSize="0" print="0" autoFill="0" autoPict="0" macro="[0]!Pulsante197_Click">
                <anchor moveWithCells="1" sizeWithCells="1">
                  <from>
                    <xdr:col>0</xdr:col>
                    <xdr:colOff>28575</xdr:colOff>
                    <xdr:row>197</xdr:row>
                    <xdr:rowOff>19050</xdr:rowOff>
                  </from>
                  <to>
                    <xdr:col>0</xdr:col>
                    <xdr:colOff>447675</xdr:colOff>
                    <xdr:row>197</xdr:row>
                    <xdr:rowOff>266700</xdr:rowOff>
                  </to>
                </anchor>
              </controlPr>
            </control>
          </mc:Choice>
        </mc:AlternateContent>
        <mc:AlternateContent xmlns:mc="http://schemas.openxmlformats.org/markup-compatibility/2006">
          <mc:Choice Requires="x14">
            <control shapeId="2037" r:id="rId596" name="Button 1013">
              <controlPr defaultSize="0" print="0" autoFill="0" autoPict="0" macro="[0]!Pulsante198_Click">
                <anchor moveWithCells="1" sizeWithCells="1">
                  <from>
                    <xdr:col>0</xdr:col>
                    <xdr:colOff>28575</xdr:colOff>
                    <xdr:row>198</xdr:row>
                    <xdr:rowOff>19050</xdr:rowOff>
                  </from>
                  <to>
                    <xdr:col>0</xdr:col>
                    <xdr:colOff>447675</xdr:colOff>
                    <xdr:row>198</xdr:row>
                    <xdr:rowOff>266700</xdr:rowOff>
                  </to>
                </anchor>
              </controlPr>
            </control>
          </mc:Choice>
        </mc:AlternateContent>
        <mc:AlternateContent xmlns:mc="http://schemas.openxmlformats.org/markup-compatibility/2006">
          <mc:Choice Requires="x14">
            <control shapeId="2038" r:id="rId597" name="Button 1014">
              <controlPr defaultSize="0" print="0" autoFill="0" autoPict="0" macro="[0]!Pulsante197B_Click">
                <anchor moveWithCells="1" sizeWithCells="1">
                  <from>
                    <xdr:col>16</xdr:col>
                    <xdr:colOff>28575</xdr:colOff>
                    <xdr:row>197</xdr:row>
                    <xdr:rowOff>19050</xdr:rowOff>
                  </from>
                  <to>
                    <xdr:col>16</xdr:col>
                    <xdr:colOff>447675</xdr:colOff>
                    <xdr:row>197</xdr:row>
                    <xdr:rowOff>266700</xdr:rowOff>
                  </to>
                </anchor>
              </controlPr>
            </control>
          </mc:Choice>
        </mc:AlternateContent>
        <mc:AlternateContent xmlns:mc="http://schemas.openxmlformats.org/markup-compatibility/2006">
          <mc:Choice Requires="x14">
            <control shapeId="2039" r:id="rId598" name="Button 1015">
              <controlPr defaultSize="0" print="0" autoFill="0" autoPict="0" macro="[0]!Pulsante198B_Click">
                <anchor moveWithCells="1" sizeWithCells="1">
                  <from>
                    <xdr:col>16</xdr:col>
                    <xdr:colOff>28575</xdr:colOff>
                    <xdr:row>198</xdr:row>
                    <xdr:rowOff>19050</xdr:rowOff>
                  </from>
                  <to>
                    <xdr:col>16</xdr:col>
                    <xdr:colOff>447675</xdr:colOff>
                    <xdr:row>198</xdr:row>
                    <xdr:rowOff>266700</xdr:rowOff>
                  </to>
                </anchor>
              </controlPr>
            </control>
          </mc:Choice>
        </mc:AlternateContent>
        <mc:AlternateContent xmlns:mc="http://schemas.openxmlformats.org/markup-compatibility/2006">
          <mc:Choice Requires="x14">
            <control shapeId="2040" r:id="rId599" name="Button 1016">
              <controlPr defaultSize="0" print="0" autoFill="0" autoPict="0" macro="[0]!Pulsante_CANC_197_Click">
                <anchor moveWithCells="1" sizeWithCells="1">
                  <from>
                    <xdr:col>6</xdr:col>
                    <xdr:colOff>28575</xdr:colOff>
                    <xdr:row>197</xdr:row>
                    <xdr:rowOff>19050</xdr:rowOff>
                  </from>
                  <to>
                    <xdr:col>6</xdr:col>
                    <xdr:colOff>447675</xdr:colOff>
                    <xdr:row>197</xdr:row>
                    <xdr:rowOff>266700</xdr:rowOff>
                  </to>
                </anchor>
              </controlPr>
            </control>
          </mc:Choice>
        </mc:AlternateContent>
        <mc:AlternateContent xmlns:mc="http://schemas.openxmlformats.org/markup-compatibility/2006">
          <mc:Choice Requires="x14">
            <control shapeId="2041" r:id="rId600" name="Button 1017">
              <controlPr defaultSize="0" print="0" autoFill="0" autoPict="0" macro="[0]!Pulsante_CANC_198_Click">
                <anchor moveWithCells="1" sizeWithCells="1">
                  <from>
                    <xdr:col>6</xdr:col>
                    <xdr:colOff>28575</xdr:colOff>
                    <xdr:row>198</xdr:row>
                    <xdr:rowOff>19050</xdr:rowOff>
                  </from>
                  <to>
                    <xdr:col>6</xdr:col>
                    <xdr:colOff>447675</xdr:colOff>
                    <xdr:row>198</xdr:row>
                    <xdr:rowOff>266700</xdr:rowOff>
                  </to>
                </anchor>
              </controlPr>
            </control>
          </mc:Choice>
        </mc:AlternateContent>
        <mc:AlternateContent xmlns:mc="http://schemas.openxmlformats.org/markup-compatibility/2006">
          <mc:Choice Requires="x14">
            <control shapeId="2042" r:id="rId601" name="Button 1018">
              <controlPr defaultSize="0" print="0" autoFill="0" autoPict="0" macro="[0]!Pulsante199_Click">
                <anchor moveWithCells="1" sizeWithCells="1">
                  <from>
                    <xdr:col>0</xdr:col>
                    <xdr:colOff>28575</xdr:colOff>
                    <xdr:row>199</xdr:row>
                    <xdr:rowOff>19050</xdr:rowOff>
                  </from>
                  <to>
                    <xdr:col>0</xdr:col>
                    <xdr:colOff>447675</xdr:colOff>
                    <xdr:row>199</xdr:row>
                    <xdr:rowOff>266700</xdr:rowOff>
                  </to>
                </anchor>
              </controlPr>
            </control>
          </mc:Choice>
        </mc:AlternateContent>
        <mc:AlternateContent xmlns:mc="http://schemas.openxmlformats.org/markup-compatibility/2006">
          <mc:Choice Requires="x14">
            <control shapeId="2043" r:id="rId602" name="Button 1019">
              <controlPr defaultSize="0" print="0" autoFill="0" autoPict="0" macro="[0]!Pulsante200_Click">
                <anchor moveWithCells="1" sizeWithCells="1">
                  <from>
                    <xdr:col>0</xdr:col>
                    <xdr:colOff>28575</xdr:colOff>
                    <xdr:row>200</xdr:row>
                    <xdr:rowOff>19050</xdr:rowOff>
                  </from>
                  <to>
                    <xdr:col>0</xdr:col>
                    <xdr:colOff>447675</xdr:colOff>
                    <xdr:row>200</xdr:row>
                    <xdr:rowOff>266700</xdr:rowOff>
                  </to>
                </anchor>
              </controlPr>
            </control>
          </mc:Choice>
        </mc:AlternateContent>
        <mc:AlternateContent xmlns:mc="http://schemas.openxmlformats.org/markup-compatibility/2006">
          <mc:Choice Requires="x14">
            <control shapeId="2044" r:id="rId603" name="Button 1020">
              <controlPr defaultSize="0" print="0" autoFill="0" autoPict="0" macro="[0]!Pulsante199B_Click">
                <anchor moveWithCells="1" sizeWithCells="1">
                  <from>
                    <xdr:col>16</xdr:col>
                    <xdr:colOff>28575</xdr:colOff>
                    <xdr:row>199</xdr:row>
                    <xdr:rowOff>19050</xdr:rowOff>
                  </from>
                  <to>
                    <xdr:col>16</xdr:col>
                    <xdr:colOff>447675</xdr:colOff>
                    <xdr:row>199</xdr:row>
                    <xdr:rowOff>266700</xdr:rowOff>
                  </to>
                </anchor>
              </controlPr>
            </control>
          </mc:Choice>
        </mc:AlternateContent>
        <mc:AlternateContent xmlns:mc="http://schemas.openxmlformats.org/markup-compatibility/2006">
          <mc:Choice Requires="x14">
            <control shapeId="2045" r:id="rId604" name="Button 1021">
              <controlPr defaultSize="0" print="0" autoFill="0" autoPict="0" macro="[0]!Pulsante200B_Click">
                <anchor moveWithCells="1" sizeWithCells="1">
                  <from>
                    <xdr:col>16</xdr:col>
                    <xdr:colOff>28575</xdr:colOff>
                    <xdr:row>200</xdr:row>
                    <xdr:rowOff>19050</xdr:rowOff>
                  </from>
                  <to>
                    <xdr:col>16</xdr:col>
                    <xdr:colOff>447675</xdr:colOff>
                    <xdr:row>200</xdr:row>
                    <xdr:rowOff>266700</xdr:rowOff>
                  </to>
                </anchor>
              </controlPr>
            </control>
          </mc:Choice>
        </mc:AlternateContent>
        <mc:AlternateContent xmlns:mc="http://schemas.openxmlformats.org/markup-compatibility/2006">
          <mc:Choice Requires="x14">
            <control shapeId="2046" r:id="rId605" name="Button 1022">
              <controlPr defaultSize="0" print="0" autoFill="0" autoPict="0" macro="[0]!Pulsante_CANC_199_Click">
                <anchor moveWithCells="1" sizeWithCells="1">
                  <from>
                    <xdr:col>6</xdr:col>
                    <xdr:colOff>28575</xdr:colOff>
                    <xdr:row>199</xdr:row>
                    <xdr:rowOff>19050</xdr:rowOff>
                  </from>
                  <to>
                    <xdr:col>6</xdr:col>
                    <xdr:colOff>447675</xdr:colOff>
                    <xdr:row>199</xdr:row>
                    <xdr:rowOff>266700</xdr:rowOff>
                  </to>
                </anchor>
              </controlPr>
            </control>
          </mc:Choice>
        </mc:AlternateContent>
        <mc:AlternateContent xmlns:mc="http://schemas.openxmlformats.org/markup-compatibility/2006">
          <mc:Choice Requires="x14">
            <control shapeId="2047" r:id="rId606" name="Button 1023">
              <controlPr defaultSize="0" print="0" autoFill="0" autoPict="0" macro="[0]!Pulsante_CANC_200_Click">
                <anchor moveWithCells="1" sizeWithCells="1">
                  <from>
                    <xdr:col>6</xdr:col>
                    <xdr:colOff>28575</xdr:colOff>
                    <xdr:row>200</xdr:row>
                    <xdr:rowOff>19050</xdr:rowOff>
                  </from>
                  <to>
                    <xdr:col>6</xdr:col>
                    <xdr:colOff>447675</xdr:colOff>
                    <xdr:row>200</xdr:row>
                    <xdr:rowOff>266700</xdr:rowOff>
                  </to>
                </anchor>
              </controlPr>
            </control>
          </mc:Choice>
        </mc:AlternateContent>
        <mc:AlternateContent xmlns:mc="http://schemas.openxmlformats.org/markup-compatibility/2006">
          <mc:Choice Requires="x14">
            <control shapeId="7168" r:id="rId607" name="Button 1024">
              <controlPr defaultSize="0" print="0" autoFill="0" autoPict="0" macro="[0]!Pulsante_CANC_1_Click">
                <anchor moveWithCells="1" sizeWithCells="1">
                  <from>
                    <xdr:col>6</xdr:col>
                    <xdr:colOff>28575</xdr:colOff>
                    <xdr:row>1</xdr:row>
                    <xdr:rowOff>19050</xdr:rowOff>
                  </from>
                  <to>
                    <xdr:col>6</xdr:col>
                    <xdr:colOff>457200</xdr:colOff>
                    <xdr:row>1</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Title="Info" prompt="Seleziona la zona di carico dal menù a tendina poi doppio click per lanciare la relativa safetycard." xr:uid="{92BA6FBB-336C-4544-AAF7-B04C1C931491}">
          <x14:formula1>
            <xm:f>'Zona di Carico'!$D$4:$D$25</xm:f>
          </x14:formula1>
          <xm:sqref>P2:P201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255AE-A6A4-4FC8-8192-C8CC82A5F09A}">
  <sheetPr codeName="Foglio4">
    <tabColor rgb="FFF6882E"/>
  </sheetPr>
  <dimension ref="B2:H25"/>
  <sheetViews>
    <sheetView workbookViewId="0">
      <selection activeCell="H24" sqref="H24"/>
    </sheetView>
  </sheetViews>
  <sheetFormatPr defaultRowHeight="15" x14ac:dyDescent="0.25"/>
  <cols>
    <col min="4" max="4" width="14.28515625" style="1" customWidth="1"/>
    <col min="7" max="7" width="9.7109375" style="1" bestFit="1" customWidth="1"/>
  </cols>
  <sheetData>
    <row r="2" spans="2:8" ht="33.75" customHeight="1" x14ac:dyDescent="0.25">
      <c r="B2" s="312" t="s">
        <v>298</v>
      </c>
      <c r="C2" s="312"/>
      <c r="D2" s="312"/>
      <c r="E2" s="312"/>
      <c r="F2" s="312"/>
      <c r="G2" s="312"/>
      <c r="H2" s="312"/>
    </row>
    <row r="3" spans="2:8" ht="15.75" thickBot="1" x14ac:dyDescent="0.3">
      <c r="F3" s="310" t="s">
        <v>307</v>
      </c>
      <c r="G3" s="311"/>
      <c r="H3" s="310"/>
    </row>
    <row r="4" spans="2:8" ht="15.75" thickBot="1" x14ac:dyDescent="0.3">
      <c r="B4" s="157">
        <v>1</v>
      </c>
      <c r="C4" s="158"/>
      <c r="D4" s="155">
        <v>2</v>
      </c>
      <c r="E4" s="158"/>
      <c r="F4" s="158"/>
      <c r="G4" s="162">
        <f>COUNTIFS(ENTRATE!P2:'ENTRATE'!P201,"2", ENTRATE!I2:'ENTRATE'!I201,"&gt;0", ENTRATE!K2:'ENTRATE'!K201,"")</f>
        <v>0</v>
      </c>
      <c r="H4" s="158">
        <v>15</v>
      </c>
    </row>
    <row r="5" spans="2:8" ht="15.75" thickBot="1" x14ac:dyDescent="0.3">
      <c r="B5" s="159">
        <v>2</v>
      </c>
      <c r="C5" s="160"/>
      <c r="D5" s="161" t="s">
        <v>316</v>
      </c>
      <c r="E5" s="160"/>
      <c r="F5" s="160"/>
      <c r="G5" s="162">
        <f>COUNTIFS(ENTRATE!P2:'ENTRATE'!P201,"STR.3", ENTRATE!I2:'ENTRATE'!I201,"&gt;0", ENTRATE!K2:'ENTRATE'!K201,"")</f>
        <v>0</v>
      </c>
      <c r="H5" s="160">
        <v>15</v>
      </c>
    </row>
    <row r="6" spans="2:8" ht="15.75" thickBot="1" x14ac:dyDescent="0.3">
      <c r="B6" s="159">
        <v>3</v>
      </c>
      <c r="C6" s="160"/>
      <c r="D6" s="161" t="s">
        <v>299</v>
      </c>
      <c r="E6" s="160"/>
      <c r="F6" s="160"/>
      <c r="G6" s="162">
        <f>COUNTIFS(ENTRATE!P2:'ENTRATE'!P201,"3/PICKING", ENTRATE!I2:'ENTRATE'!I201,"&gt;0", ENTRATE!K2:'ENTRATE'!K201,"")</f>
        <v>0</v>
      </c>
      <c r="H6" s="160">
        <v>15</v>
      </c>
    </row>
    <row r="7" spans="2:8" ht="15.75" thickBot="1" x14ac:dyDescent="0.3">
      <c r="B7" s="159">
        <v>4</v>
      </c>
      <c r="C7" s="160"/>
      <c r="D7" s="161">
        <v>4</v>
      </c>
      <c r="E7" s="160"/>
      <c r="F7" s="160"/>
      <c r="G7" s="162">
        <f>COUNTIFS(ENTRATE!P2:'ENTRATE'!P201,"4", ENTRATE!I2:'ENTRATE'!I201,"&gt;0", ENTRATE!K2:'ENTRATE'!K201,"")</f>
        <v>0</v>
      </c>
      <c r="H7" s="160">
        <v>15</v>
      </c>
    </row>
    <row r="8" spans="2:8" ht="15.75" thickBot="1" x14ac:dyDescent="0.3">
      <c r="B8" s="159">
        <v>5</v>
      </c>
      <c r="C8" s="160"/>
      <c r="D8" s="161">
        <v>5</v>
      </c>
      <c r="E8" s="160"/>
      <c r="F8" s="160"/>
      <c r="G8" s="162">
        <f>COUNTIF(ENTRATE!P2:'ENTRATE'!P161,"5")</f>
        <v>0</v>
      </c>
      <c r="H8" s="160">
        <v>15</v>
      </c>
    </row>
    <row r="9" spans="2:8" ht="15.75" thickBot="1" x14ac:dyDescent="0.3">
      <c r="B9" s="159">
        <v>6</v>
      </c>
      <c r="C9" s="160"/>
      <c r="D9" s="161">
        <v>6</v>
      </c>
      <c r="E9" s="160"/>
      <c r="F9" s="160"/>
      <c r="G9" s="162">
        <f>COUNTIFS(ENTRATE!P2:'ENTRATE'!P201,"6", ENTRATE!I2:'ENTRATE'!I201,"&gt;0", ENTRATE!K2:'ENTRATE'!K201,"")</f>
        <v>0</v>
      </c>
      <c r="H9" s="160">
        <v>15</v>
      </c>
    </row>
    <row r="10" spans="2:8" ht="15.75" thickBot="1" x14ac:dyDescent="0.3">
      <c r="B10" s="159">
        <v>7</v>
      </c>
      <c r="C10" s="160"/>
      <c r="D10" s="161">
        <v>8</v>
      </c>
      <c r="E10" s="160"/>
      <c r="F10" s="160"/>
      <c r="G10" s="162">
        <f>COUNTIFS(ENTRATE!P2:'ENTRATE'!P201,"8", ENTRATE!I2:'ENTRATE'!I201,"&gt;0", ENTRATE!K2:'ENTRATE'!K201,"")</f>
        <v>0</v>
      </c>
      <c r="H10" s="160">
        <v>15</v>
      </c>
    </row>
    <row r="11" spans="2:8" ht="15.75" thickBot="1" x14ac:dyDescent="0.3">
      <c r="B11" s="159">
        <v>8</v>
      </c>
      <c r="C11" s="160"/>
      <c r="D11" s="161" t="s">
        <v>300</v>
      </c>
      <c r="E11" s="160"/>
      <c r="F11" s="160"/>
      <c r="G11" s="162">
        <f>COUNTIFS(ENTRATE!P2:'ENTRATE'!P201,"8/CAP1", ENTRATE!I2:'ENTRATE'!I201,"&gt;0", ENTRATE!K2:'ENTRATE'!K201,"")</f>
        <v>0</v>
      </c>
      <c r="H11" s="160">
        <v>15</v>
      </c>
    </row>
    <row r="12" spans="2:8" ht="15.75" thickBot="1" x14ac:dyDescent="0.3">
      <c r="B12" s="159">
        <v>9</v>
      </c>
      <c r="C12" s="160"/>
      <c r="D12" s="161">
        <v>18</v>
      </c>
      <c r="E12" s="160"/>
      <c r="F12" s="160"/>
      <c r="G12" s="162">
        <f>COUNTIFS(ENTRATE!P2:'ENTRATE'!P201,"18", ENTRATE!I2:'ENTRATE'!I201,"&gt;0", ENTRATE!K2:'ENTRATE'!K201,"")</f>
        <v>0</v>
      </c>
      <c r="H12" s="160">
        <v>15</v>
      </c>
    </row>
    <row r="13" spans="2:8" ht="15.75" thickBot="1" x14ac:dyDescent="0.3">
      <c r="B13" s="159">
        <v>10</v>
      </c>
      <c r="C13" s="160"/>
      <c r="D13" s="161">
        <v>16</v>
      </c>
      <c r="E13" s="160"/>
      <c r="F13" s="160"/>
      <c r="G13" s="162">
        <f>COUNTIFS(ENTRATE!P2:'ENTRATE'!P201,"16", ENTRATE!I2:'ENTRATE'!I201,"&gt;0", ENTRATE!K2:'ENTRATE'!K201,"")</f>
        <v>0</v>
      </c>
      <c r="H13" s="160">
        <v>15</v>
      </c>
    </row>
    <row r="14" spans="2:8" ht="15.75" thickBot="1" x14ac:dyDescent="0.3">
      <c r="B14" s="159">
        <v>11</v>
      </c>
      <c r="C14" s="160"/>
      <c r="D14" s="161" t="s">
        <v>301</v>
      </c>
      <c r="E14" s="160"/>
      <c r="F14" s="160"/>
      <c r="G14" s="162">
        <f>COUNTIFS(ENTRATE!P2:'ENTRATE'!P201,"16/SILOS", ENTRATE!I2:'ENTRATE'!I201,"&gt;0", ENTRATE!K2:'ENTRATE'!K201,"")</f>
        <v>0</v>
      </c>
      <c r="H14" s="160">
        <v>15</v>
      </c>
    </row>
    <row r="15" spans="2:8" ht="15.75" thickBot="1" x14ac:dyDescent="0.3">
      <c r="B15" s="159">
        <v>12</v>
      </c>
      <c r="C15" s="160"/>
      <c r="D15" s="161">
        <v>10</v>
      </c>
      <c r="E15" s="160"/>
      <c r="F15" s="160"/>
      <c r="G15" s="162">
        <f>COUNTIFS(ENTRATE!P2:'ENTRATE'!P201,"10", ENTRATE!I2:'ENTRATE'!I201,"&gt;0", ENTRATE!K2:'ENTRATE'!K201,"")</f>
        <v>0</v>
      </c>
      <c r="H15" s="160">
        <v>15</v>
      </c>
    </row>
    <row r="16" spans="2:8" ht="15.75" thickBot="1" x14ac:dyDescent="0.3">
      <c r="B16" s="159">
        <v>13</v>
      </c>
      <c r="C16" s="160"/>
      <c r="D16" s="161">
        <v>12</v>
      </c>
      <c r="E16" s="160"/>
      <c r="F16" s="160"/>
      <c r="G16" s="162">
        <f>COUNTIFS(ENTRATE!P2:'ENTRATE'!P201,"12", ENTRATE!I2:'ENTRATE'!I201,"&gt;0", ENTRATE!K2:'ENTRATE'!K201,"")</f>
        <v>0</v>
      </c>
      <c r="H16" s="160">
        <v>15</v>
      </c>
    </row>
    <row r="17" spans="2:8" ht="15.75" thickBot="1" x14ac:dyDescent="0.3">
      <c r="B17" s="159">
        <v>14</v>
      </c>
      <c r="C17" s="160"/>
      <c r="D17" s="161" t="s">
        <v>302</v>
      </c>
      <c r="E17" s="160"/>
      <c r="F17" s="160"/>
      <c r="G17" s="162">
        <f>COUNTIFS(ENTRATE!P2:'ENTRATE'!P201,"EX.MERZ.", ENTRATE!I2:'ENTRATE'!I201,"&gt;0", ENTRATE!K2:'ENTRATE'!K201,"")</f>
        <v>0</v>
      </c>
      <c r="H17" s="160">
        <v>6</v>
      </c>
    </row>
    <row r="18" spans="2:8" ht="15.75" thickBot="1" x14ac:dyDescent="0.3">
      <c r="B18" s="159">
        <v>15</v>
      </c>
      <c r="C18" s="160"/>
      <c r="D18" s="161" t="s">
        <v>303</v>
      </c>
      <c r="E18" s="160"/>
      <c r="F18" s="160"/>
      <c r="G18" s="162">
        <f>COUNTIFS(ENTRATE!P2:'ENTRATE'!P201,"S.MARCO", ENTRATE!I2:'ENTRATE'!I201,"&gt;0", ENTRATE!K2:'ENTRATE'!K201,"")</f>
        <v>0</v>
      </c>
      <c r="H18" s="160">
        <v>6</v>
      </c>
    </row>
    <row r="19" spans="2:8" ht="15.75" thickBot="1" x14ac:dyDescent="0.3">
      <c r="B19" s="159">
        <v>16</v>
      </c>
      <c r="C19" s="160"/>
      <c r="D19" s="161" t="s">
        <v>304</v>
      </c>
      <c r="E19" s="160"/>
      <c r="F19" s="160"/>
      <c r="G19" s="162">
        <f>COUNTIFS(ENTRATE!P2:'ENTRATE'!P201,"3B", ENTRATE!I2:'ENTRATE'!I201,"&gt;0", ENTRATE!K2:'ENTRATE'!K201,"")</f>
        <v>0</v>
      </c>
      <c r="H19" s="160">
        <v>6</v>
      </c>
    </row>
    <row r="20" spans="2:8" ht="15.75" thickBot="1" x14ac:dyDescent="0.3">
      <c r="B20" s="159">
        <v>17</v>
      </c>
      <c r="C20" s="160"/>
      <c r="D20" s="161" t="s">
        <v>305</v>
      </c>
      <c r="E20" s="160"/>
      <c r="F20" s="160"/>
      <c r="G20" s="162">
        <f>COUNTIFS(ENTRATE!P2:'ENTRATE'!P201,"RA MILL", ENTRATE!I2:'ENTRATE'!I201,"&gt;0", ENTRATE!K2:'ENTRATE'!K201,"")</f>
        <v>0</v>
      </c>
      <c r="H20" s="160">
        <v>6</v>
      </c>
    </row>
    <row r="21" spans="2:8" ht="15.75" thickBot="1" x14ac:dyDescent="0.3">
      <c r="B21" s="159">
        <v>18</v>
      </c>
      <c r="C21" s="160"/>
      <c r="D21" s="161" t="s">
        <v>306</v>
      </c>
      <c r="E21" s="160"/>
      <c r="F21" s="160"/>
      <c r="G21" s="162">
        <f>COUNTIFS(ENTRATE!P2:'ENTRATE'!P201,"MICRON MIN", ENTRATE!I2:'ENTRATE'!I201,"&gt;0", ENTRATE!K2:'ENTRATE'!K201,"")</f>
        <v>0</v>
      </c>
      <c r="H21" s="160">
        <v>6</v>
      </c>
    </row>
    <row r="22" spans="2:8" ht="15.75" thickBot="1" x14ac:dyDescent="0.3">
      <c r="B22" s="159">
        <v>19</v>
      </c>
      <c r="C22" s="160"/>
      <c r="D22" s="161" t="s">
        <v>310</v>
      </c>
      <c r="E22" s="160"/>
      <c r="F22" s="160"/>
      <c r="G22" s="162">
        <f>COUNTIFS(ENTRATE!P3:'ENTRATE'!P201,"COLACEM", ENTRATE!I3:'ENTRATE'!I201,"&gt;0", ENTRATE!K3:'ENTRATE'!K201,"")</f>
        <v>0</v>
      </c>
      <c r="H22" s="160">
        <v>6</v>
      </c>
    </row>
    <row r="23" spans="2:8" ht="15.75" thickBot="1" x14ac:dyDescent="0.3">
      <c r="B23" s="157">
        <v>20</v>
      </c>
      <c r="C23" s="158"/>
      <c r="D23" s="155" t="s">
        <v>313</v>
      </c>
      <c r="E23" s="158"/>
      <c r="F23" s="158"/>
      <c r="G23" s="162">
        <f>COUNTIFS(ENTRATE!P3:'ENTRATE'!P201,"SOCO VECCHIA", ENTRATE!I3:'ENTRATE'!I201,"&gt;0", ENTRATE!K3:'ENTRATE'!K201,"")</f>
        <v>0</v>
      </c>
      <c r="H23" s="158">
        <v>6</v>
      </c>
    </row>
    <row r="24" spans="2:8" ht="15.75" thickBot="1" x14ac:dyDescent="0.3">
      <c r="B24" s="157">
        <v>21</v>
      </c>
      <c r="C24" s="158"/>
      <c r="D24" s="155" t="s">
        <v>317</v>
      </c>
      <c r="E24" s="158"/>
      <c r="F24" s="158"/>
      <c r="G24" s="162">
        <f>COUNTIFS(ENTRATE!P4:'ENTRATE'!P201,"CONSORZIO", ENTRATE!I4:'ENTRATE'!I201,"&gt;0", ENTRATE!K4:'ENTRATE'!K201,"")</f>
        <v>0</v>
      </c>
      <c r="H24" s="158">
        <v>6</v>
      </c>
    </row>
    <row r="25" spans="2:8" ht="15.75" thickBot="1" x14ac:dyDescent="0.3">
      <c r="B25" s="157">
        <v>22</v>
      </c>
      <c r="C25" s="158"/>
      <c r="D25" s="155"/>
      <c r="E25" s="158"/>
      <c r="F25" s="158"/>
      <c r="G25" s="162"/>
      <c r="H25" s="158"/>
    </row>
  </sheetData>
  <mergeCells count="2">
    <mergeCell ref="F3:H3"/>
    <mergeCell ref="B2:H2"/>
  </mergeCells>
  <conditionalFormatting sqref="G4:G22">
    <cfRule type="cellIs" dxfId="2" priority="1" operator="greaterThanOrEqual">
      <formula>10</formula>
    </cfRule>
    <cfRule type="cellIs" dxfId="1" priority="2" operator="between">
      <formula>6</formula>
      <formula>10</formula>
    </cfRule>
    <cfRule type="cellIs" dxfId="0" priority="3" operator="between">
      <formula>1</formula>
      <formula>5</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3">
    <tabColor rgb="FFFF7C80"/>
  </sheetPr>
  <dimension ref="A1:S49"/>
  <sheetViews>
    <sheetView topLeftCell="A10" workbookViewId="0">
      <selection activeCell="K45" sqref="K45"/>
    </sheetView>
  </sheetViews>
  <sheetFormatPr defaultRowHeight="15" x14ac:dyDescent="0.25"/>
  <cols>
    <col min="4" max="4" width="6" customWidth="1"/>
    <col min="5" max="5" width="6.42578125" customWidth="1"/>
    <col min="7" max="7" width="8.28515625" customWidth="1"/>
    <col min="8" max="8" width="8" customWidth="1"/>
  </cols>
  <sheetData>
    <row r="1" spans="1:19" x14ac:dyDescent="0.25">
      <c r="A1" s="320" t="s">
        <v>42</v>
      </c>
      <c r="B1" s="321"/>
      <c r="C1" s="321"/>
      <c r="D1" s="321"/>
      <c r="E1" s="321"/>
      <c r="F1" s="321"/>
      <c r="G1" s="321"/>
      <c r="H1" s="321"/>
      <c r="I1" s="321"/>
      <c r="J1" s="321"/>
      <c r="K1" s="321"/>
      <c r="L1" s="321"/>
      <c r="M1" s="321"/>
      <c r="N1" s="321"/>
      <c r="O1" s="321"/>
      <c r="P1" s="321"/>
      <c r="Q1" s="321"/>
      <c r="R1" s="321"/>
      <c r="S1" s="322"/>
    </row>
    <row r="2" spans="1:19" ht="15.75" thickBot="1" x14ac:dyDescent="0.3">
      <c r="A2" s="323"/>
      <c r="B2" s="324"/>
      <c r="C2" s="324"/>
      <c r="D2" s="324"/>
      <c r="E2" s="324"/>
      <c r="F2" s="324"/>
      <c r="G2" s="324"/>
      <c r="H2" s="324"/>
      <c r="I2" s="324"/>
      <c r="J2" s="324"/>
      <c r="K2" s="324"/>
      <c r="L2" s="324"/>
      <c r="M2" s="324"/>
      <c r="N2" s="324"/>
      <c r="O2" s="324"/>
      <c r="P2" s="324"/>
      <c r="Q2" s="324"/>
      <c r="R2" s="324"/>
      <c r="S2" s="325"/>
    </row>
    <row r="5" spans="1:19" ht="22.5" customHeight="1" x14ac:dyDescent="0.25">
      <c r="A5" s="326" t="s">
        <v>43</v>
      </c>
      <c r="B5" s="326"/>
      <c r="C5" s="326"/>
      <c r="E5" s="327" t="s">
        <v>44</v>
      </c>
      <c r="F5" s="327"/>
      <c r="H5" s="327" t="s">
        <v>47</v>
      </c>
      <c r="I5" s="327"/>
      <c r="J5" s="327"/>
    </row>
    <row r="6" spans="1:19" x14ac:dyDescent="0.25">
      <c r="A6" s="314"/>
      <c r="B6" s="314"/>
      <c r="C6" s="314"/>
      <c r="E6" s="3"/>
      <c r="H6" s="3"/>
    </row>
    <row r="7" spans="1:19" ht="15.75" x14ac:dyDescent="0.25">
      <c r="A7" s="317" t="str">
        <f>A35</f>
        <v>CLAUDIO</v>
      </c>
      <c r="B7" s="317"/>
      <c r="C7" s="317"/>
      <c r="E7" s="155" t="str">
        <f>E35</f>
        <v>CLA</v>
      </c>
      <c r="H7" s="4">
        <f>COUNTIFS(ENTRATE!L2:M201,'STATS S.'!E35)</f>
        <v>0</v>
      </c>
    </row>
    <row r="8" spans="1:19" x14ac:dyDescent="0.25">
      <c r="A8" s="314"/>
      <c r="B8" s="314"/>
      <c r="C8" s="314"/>
      <c r="E8" s="3"/>
      <c r="H8" s="3"/>
    </row>
    <row r="9" spans="1:19" ht="15.75" x14ac:dyDescent="0.25">
      <c r="A9" s="317" t="str">
        <f>A36</f>
        <v>ANDREA L</v>
      </c>
      <c r="B9" s="317"/>
      <c r="C9" s="317"/>
      <c r="E9" s="155" t="str">
        <f>E36</f>
        <v>AL</v>
      </c>
      <c r="H9" s="4">
        <f>COUNTIFS(ENTRATE!L2:M201,'STATS S.'!E36)</f>
        <v>0</v>
      </c>
    </row>
    <row r="10" spans="1:19" x14ac:dyDescent="0.25">
      <c r="A10" s="314"/>
      <c r="B10" s="314"/>
      <c r="C10" s="314"/>
      <c r="E10" s="3"/>
      <c r="H10" s="3"/>
    </row>
    <row r="11" spans="1:19" ht="15.75" x14ac:dyDescent="0.25">
      <c r="A11" s="317" t="str">
        <f>A37</f>
        <v>LELLO</v>
      </c>
      <c r="B11" s="317"/>
      <c r="C11" s="317"/>
      <c r="E11" s="155" t="str">
        <f>E37</f>
        <v>LEL</v>
      </c>
      <c r="H11" s="4">
        <f>COUNTIFS(ENTRATE!L2:M201,'STATS S.'!E37)</f>
        <v>0</v>
      </c>
    </row>
    <row r="12" spans="1:19" x14ac:dyDescent="0.25">
      <c r="A12" s="314"/>
      <c r="B12" s="314"/>
      <c r="C12" s="314"/>
      <c r="E12" s="3"/>
      <c r="H12" s="3"/>
    </row>
    <row r="13" spans="1:19" ht="15.75" x14ac:dyDescent="0.25">
      <c r="A13" s="317" t="str">
        <f>A38</f>
        <v>NIKODEM</v>
      </c>
      <c r="B13" s="317"/>
      <c r="C13" s="317"/>
      <c r="E13" s="155" t="str">
        <f>E38</f>
        <v>NIKO</v>
      </c>
      <c r="H13" s="4">
        <f>COUNTIFS(ENTRATE!L2:M201,'STATS S.'!E38)</f>
        <v>0</v>
      </c>
    </row>
    <row r="14" spans="1:19" x14ac:dyDescent="0.25">
      <c r="A14" s="314"/>
      <c r="B14" s="314"/>
      <c r="C14" s="314"/>
      <c r="E14" s="3"/>
      <c r="H14" s="3"/>
    </row>
    <row r="15" spans="1:19" ht="15.75" x14ac:dyDescent="0.25">
      <c r="A15" s="317" t="s">
        <v>295</v>
      </c>
      <c r="B15" s="317"/>
      <c r="C15" s="317"/>
      <c r="E15" s="155" t="s">
        <v>296</v>
      </c>
      <c r="H15" s="4">
        <f>COUNTIFS(ENTRATE!L2:M201,'STATS S.'!E39)</f>
        <v>0</v>
      </c>
    </row>
    <row r="16" spans="1:19" x14ac:dyDescent="0.25">
      <c r="A16" s="314"/>
      <c r="B16" s="314"/>
      <c r="C16" s="314"/>
      <c r="E16" s="3"/>
      <c r="H16" s="3"/>
    </row>
    <row r="17" spans="1:19" ht="15.75" x14ac:dyDescent="0.25">
      <c r="A17" s="317" t="str">
        <f>A40</f>
        <v>BELLINI</v>
      </c>
      <c r="B17" s="317"/>
      <c r="C17" s="317"/>
      <c r="E17" s="155" t="str">
        <f>E40</f>
        <v>BEL</v>
      </c>
      <c r="H17" s="4">
        <f>COUNTIFS(ENTRATE!L2:M201,'STATS S.'!E40)</f>
        <v>0</v>
      </c>
    </row>
    <row r="18" spans="1:19" x14ac:dyDescent="0.25">
      <c r="A18" s="314"/>
      <c r="B18" s="314"/>
      <c r="C18" s="314"/>
      <c r="E18" s="3"/>
      <c r="H18" s="3"/>
    </row>
    <row r="19" spans="1:19" ht="15.75" x14ac:dyDescent="0.25">
      <c r="A19" s="317" t="str">
        <f>A41</f>
        <v>MARCO L</v>
      </c>
      <c r="B19" s="317"/>
      <c r="C19" s="317"/>
      <c r="E19" s="156" t="str">
        <f>E41</f>
        <v>ML</v>
      </c>
      <c r="H19" s="4">
        <f>COUNTIFS(ENTRATE!L2:M201,'STATS S.'!E41)</f>
        <v>0</v>
      </c>
    </row>
    <row r="20" spans="1:19" x14ac:dyDescent="0.25">
      <c r="A20" s="314"/>
      <c r="B20" s="314"/>
      <c r="C20" s="314"/>
      <c r="E20" s="3"/>
      <c r="H20" s="3"/>
    </row>
    <row r="21" spans="1:19" ht="15.75" x14ac:dyDescent="0.25">
      <c r="A21" s="317" t="str">
        <f>A42</f>
        <v>ALESSANDRO</v>
      </c>
      <c r="B21" s="317"/>
      <c r="C21" s="317"/>
      <c r="E21" s="155" t="str">
        <f>E42</f>
        <v>AM</v>
      </c>
      <c r="H21" s="4">
        <f>COUNTIFS(ENTRATE!L2:M201,'STATS S.'!E42)</f>
        <v>0</v>
      </c>
    </row>
    <row r="22" spans="1:19" x14ac:dyDescent="0.25">
      <c r="A22" s="314"/>
      <c r="B22" s="314"/>
      <c r="C22" s="314"/>
      <c r="E22" s="3"/>
      <c r="H22" s="3"/>
    </row>
    <row r="23" spans="1:19" ht="15.75" x14ac:dyDescent="0.25">
      <c r="A23" s="317" t="str">
        <f>A43</f>
        <v>CIRILLO</v>
      </c>
      <c r="B23" s="317"/>
      <c r="C23" s="317"/>
      <c r="E23" s="155" t="str">
        <f>E43</f>
        <v>CIR</v>
      </c>
      <c r="H23" s="4">
        <f>COUNTIFS(ENTRATE!L2:M201,'STATS S.'!E43)</f>
        <v>0</v>
      </c>
    </row>
    <row r="24" spans="1:19" x14ac:dyDescent="0.25">
      <c r="A24" s="3"/>
      <c r="B24" s="3"/>
      <c r="C24" s="3"/>
      <c r="E24" s="3"/>
      <c r="H24" s="3"/>
    </row>
    <row r="25" spans="1:19" ht="15.75" x14ac:dyDescent="0.25">
      <c r="A25" s="317" t="str">
        <f>A44</f>
        <v>QUARTICELLI</v>
      </c>
      <c r="B25" s="317"/>
      <c r="C25" s="317"/>
      <c r="E25" s="155" t="str">
        <f>E44</f>
        <v>GQ</v>
      </c>
      <c r="H25" s="4">
        <f>COUNTIFS(ENTRATE!L2:M201,'STATS S.'!E44)</f>
        <v>0</v>
      </c>
    </row>
    <row r="26" spans="1:19" x14ac:dyDescent="0.25">
      <c r="A26" s="3"/>
      <c r="B26" s="3"/>
      <c r="C26" s="3"/>
      <c r="E26" s="3"/>
      <c r="H26" s="3"/>
    </row>
    <row r="27" spans="1:19" ht="15.75" x14ac:dyDescent="0.25">
      <c r="A27" s="317" t="str">
        <f>A45</f>
        <v>NON ASS</v>
      </c>
      <c r="B27" s="317"/>
      <c r="C27" s="317"/>
      <c r="E27" s="155" t="str">
        <f>E45</f>
        <v>NO</v>
      </c>
      <c r="H27" s="4">
        <f>COUNTIFS(ENTRATE!L2:M201,'STATS S.'!E45)</f>
        <v>0</v>
      </c>
    </row>
    <row r="28" spans="1:19" x14ac:dyDescent="0.25">
      <c r="A28" s="3"/>
      <c r="B28" s="3"/>
      <c r="C28" s="3"/>
      <c r="E28" s="3"/>
      <c r="H28" s="3"/>
    </row>
    <row r="30" spans="1:19" ht="15.75" customHeight="1" x14ac:dyDescent="0.25">
      <c r="A30" s="319" t="s">
        <v>315</v>
      </c>
      <c r="B30" s="319"/>
      <c r="C30" s="319"/>
      <c r="D30" s="319"/>
      <c r="E30" s="319"/>
      <c r="F30" s="319"/>
      <c r="G30" s="319"/>
      <c r="H30" s="319"/>
      <c r="I30" s="319"/>
      <c r="J30" s="319"/>
      <c r="K30" s="319"/>
      <c r="L30" s="319"/>
      <c r="M30" s="319"/>
      <c r="N30" s="319"/>
      <c r="O30" s="319"/>
      <c r="P30" s="319"/>
      <c r="Q30" s="319"/>
      <c r="R30" s="319"/>
      <c r="S30" s="319"/>
    </row>
    <row r="35" spans="1:5" x14ac:dyDescent="0.25">
      <c r="A35" s="318" t="s">
        <v>45</v>
      </c>
      <c r="B35" s="318"/>
      <c r="C35" s="318"/>
      <c r="E35" s="4" t="s">
        <v>48</v>
      </c>
    </row>
    <row r="36" spans="1:5" x14ac:dyDescent="0.25">
      <c r="A36" s="316" t="s">
        <v>350</v>
      </c>
      <c r="B36" s="316"/>
      <c r="C36" s="316"/>
      <c r="E36" s="4" t="s">
        <v>351</v>
      </c>
    </row>
    <row r="37" spans="1:5" x14ac:dyDescent="0.25">
      <c r="A37" s="316" t="s">
        <v>46</v>
      </c>
      <c r="B37" s="316"/>
      <c r="C37" s="316"/>
      <c r="E37" s="4" t="s">
        <v>49</v>
      </c>
    </row>
    <row r="38" spans="1:5" x14ac:dyDescent="0.25">
      <c r="A38" s="316" t="s">
        <v>309</v>
      </c>
      <c r="B38" s="316"/>
      <c r="C38" s="316"/>
      <c r="E38" s="4" t="s">
        <v>308</v>
      </c>
    </row>
    <row r="39" spans="1:5" x14ac:dyDescent="0.25">
      <c r="A39" s="316" t="s">
        <v>295</v>
      </c>
      <c r="B39" s="316"/>
      <c r="C39" s="316"/>
      <c r="E39" s="4" t="s">
        <v>296</v>
      </c>
    </row>
    <row r="40" spans="1:5" x14ac:dyDescent="0.25">
      <c r="A40" s="316" t="s">
        <v>284</v>
      </c>
      <c r="B40" s="316"/>
      <c r="C40" s="316"/>
      <c r="E40" s="4" t="s">
        <v>285</v>
      </c>
    </row>
    <row r="41" spans="1:5" x14ac:dyDescent="0.25">
      <c r="A41" s="316" t="s">
        <v>311</v>
      </c>
      <c r="B41" s="316"/>
      <c r="C41" s="316"/>
      <c r="E41" s="4" t="s">
        <v>312</v>
      </c>
    </row>
    <row r="42" spans="1:5" x14ac:dyDescent="0.25">
      <c r="A42" s="316" t="s">
        <v>289</v>
      </c>
      <c r="B42" s="316"/>
      <c r="C42" s="316"/>
      <c r="E42" s="4" t="s">
        <v>297</v>
      </c>
    </row>
    <row r="43" spans="1:5" x14ac:dyDescent="0.25">
      <c r="A43" s="315" t="s">
        <v>318</v>
      </c>
      <c r="B43" s="316"/>
      <c r="C43" s="316"/>
      <c r="E43" s="55" t="s">
        <v>319</v>
      </c>
    </row>
    <row r="44" spans="1:5" x14ac:dyDescent="0.25">
      <c r="A44" s="315" t="s">
        <v>352</v>
      </c>
      <c r="B44" s="316"/>
      <c r="C44" s="316"/>
      <c r="E44" s="55" t="s">
        <v>314</v>
      </c>
    </row>
    <row r="45" spans="1:5" x14ac:dyDescent="0.25">
      <c r="A45" s="315" t="s">
        <v>261</v>
      </c>
      <c r="B45" s="316"/>
      <c r="C45" s="316"/>
      <c r="E45" s="55" t="s">
        <v>262</v>
      </c>
    </row>
    <row r="49" spans="1:3" x14ac:dyDescent="0.25">
      <c r="A49" s="313"/>
      <c r="B49" s="313"/>
      <c r="C49" s="313"/>
    </row>
  </sheetData>
  <mergeCells count="37">
    <mergeCell ref="A1:S2"/>
    <mergeCell ref="A5:C5"/>
    <mergeCell ref="A7:C7"/>
    <mergeCell ref="A9:C9"/>
    <mergeCell ref="A11:C11"/>
    <mergeCell ref="E5:F5"/>
    <mergeCell ref="H5:J5"/>
    <mergeCell ref="A6:C6"/>
    <mergeCell ref="A8:C8"/>
    <mergeCell ref="A10:C10"/>
    <mergeCell ref="A16:C16"/>
    <mergeCell ref="A18:C18"/>
    <mergeCell ref="A20:C20"/>
    <mergeCell ref="A13:C13"/>
    <mergeCell ref="A36:C36"/>
    <mergeCell ref="A22:C22"/>
    <mergeCell ref="A15:C15"/>
    <mergeCell ref="A17:C17"/>
    <mergeCell ref="A19:C19"/>
    <mergeCell ref="A21:C21"/>
    <mergeCell ref="A30:S30"/>
    <mergeCell ref="A49:C49"/>
    <mergeCell ref="A12:C12"/>
    <mergeCell ref="A14:C14"/>
    <mergeCell ref="A43:C43"/>
    <mergeCell ref="A44:C44"/>
    <mergeCell ref="A45:C45"/>
    <mergeCell ref="A23:C23"/>
    <mergeCell ref="A25:C25"/>
    <mergeCell ref="A27:C27"/>
    <mergeCell ref="A42:C42"/>
    <mergeCell ref="A37:C37"/>
    <mergeCell ref="A38:C38"/>
    <mergeCell ref="A39:C39"/>
    <mergeCell ref="A40:C40"/>
    <mergeCell ref="A41:C41"/>
    <mergeCell ref="A35:C35"/>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tabColor theme="8" tint="0.39997558519241921"/>
  </sheetPr>
  <dimension ref="A1:G504"/>
  <sheetViews>
    <sheetView workbookViewId="0">
      <selection activeCell="C7" sqref="C7"/>
    </sheetView>
  </sheetViews>
  <sheetFormatPr defaultRowHeight="15" x14ac:dyDescent="0.25"/>
  <cols>
    <col min="1" max="1" width="1.7109375" customWidth="1"/>
    <col min="2" max="2" width="5.42578125" customWidth="1"/>
    <col min="3" max="3" width="15" style="1" customWidth="1"/>
    <col min="4" max="4" width="15" style="18" customWidth="1"/>
    <col min="5" max="5" width="5.5703125" customWidth="1"/>
    <col min="6" max="6" width="10.42578125" style="34" customWidth="1"/>
    <col min="7" max="7" width="1.42578125" customWidth="1"/>
    <col min="11" max="11" width="33" customWidth="1"/>
    <col min="12" max="12" width="13.7109375" customWidth="1"/>
    <col min="14" max="14" width="32.28515625" customWidth="1"/>
    <col min="15" max="15" width="13" customWidth="1"/>
  </cols>
  <sheetData>
    <row r="1" spans="1:7" ht="9.75" customHeight="1" thickBot="1" x14ac:dyDescent="0.3">
      <c r="A1" s="36"/>
      <c r="B1" s="37"/>
      <c r="C1" s="38"/>
      <c r="D1" s="39"/>
      <c r="E1" s="37"/>
      <c r="F1" s="40"/>
      <c r="G1" s="41"/>
    </row>
    <row r="2" spans="1:7" ht="25.5" customHeight="1" thickBot="1" x14ac:dyDescent="0.3">
      <c r="A2" s="42"/>
      <c r="B2" s="328" t="s">
        <v>55</v>
      </c>
      <c r="C2" s="329"/>
      <c r="D2" s="329"/>
      <c r="E2" s="329"/>
      <c r="F2" s="329"/>
      <c r="G2" s="43"/>
    </row>
    <row r="3" spans="1:7" ht="8.25" customHeight="1" thickBot="1" x14ac:dyDescent="0.3">
      <c r="A3" s="44"/>
      <c r="B3" s="45"/>
      <c r="C3" s="45"/>
      <c r="D3" s="46"/>
      <c r="E3" s="45"/>
      <c r="F3" s="47"/>
      <c r="G3" s="48"/>
    </row>
    <row r="4" spans="1:7" ht="8.25" customHeight="1" x14ac:dyDescent="0.25">
      <c r="B4" s="12"/>
      <c r="C4" s="12"/>
      <c r="D4" s="35"/>
      <c r="E4" s="12"/>
      <c r="F4" s="32"/>
    </row>
    <row r="5" spans="1:7" ht="18.75" customHeight="1" x14ac:dyDescent="0.25">
      <c r="B5" s="12"/>
      <c r="C5" s="49" t="s">
        <v>1</v>
      </c>
      <c r="D5" s="50" t="s">
        <v>51</v>
      </c>
      <c r="E5" s="12"/>
      <c r="F5" s="32"/>
    </row>
    <row r="6" spans="1:7" ht="9" customHeight="1" thickBot="1" x14ac:dyDescent="0.3">
      <c r="B6" s="2"/>
      <c r="C6" s="13"/>
      <c r="D6" s="14"/>
      <c r="E6" s="2"/>
      <c r="F6" s="33"/>
    </row>
    <row r="7" spans="1:7" s="1" customFormat="1" ht="19.5" customHeight="1" x14ac:dyDescent="0.25">
      <c r="B7" s="7">
        <v>1</v>
      </c>
      <c r="C7" s="8" t="s">
        <v>54</v>
      </c>
      <c r="D7" s="15">
        <v>22900</v>
      </c>
      <c r="E7" s="8" t="s">
        <v>33</v>
      </c>
      <c r="F7" s="52" t="s">
        <v>52</v>
      </c>
    </row>
    <row r="8" spans="1:7" s="1" customFormat="1" ht="19.5" customHeight="1" x14ac:dyDescent="0.25">
      <c r="B8" s="5">
        <v>2</v>
      </c>
      <c r="C8" s="6" t="s">
        <v>56</v>
      </c>
      <c r="D8" s="16">
        <v>22025</v>
      </c>
      <c r="E8" s="8" t="s">
        <v>33</v>
      </c>
      <c r="F8" s="51" t="s">
        <v>52</v>
      </c>
    </row>
    <row r="9" spans="1:7" s="1" customFormat="1" ht="19.5" customHeight="1" x14ac:dyDescent="0.25">
      <c r="B9" s="5">
        <v>3</v>
      </c>
      <c r="C9" s="6" t="s">
        <v>57</v>
      </c>
      <c r="D9" s="16">
        <v>22325</v>
      </c>
      <c r="E9" s="8" t="s">
        <v>33</v>
      </c>
      <c r="F9" s="51" t="s">
        <v>52</v>
      </c>
    </row>
    <row r="10" spans="1:7" s="1" customFormat="1" ht="19.5" customHeight="1" x14ac:dyDescent="0.25">
      <c r="B10" s="5">
        <v>4</v>
      </c>
      <c r="C10" s="6" t="s">
        <v>180</v>
      </c>
      <c r="D10" s="16">
        <v>21950</v>
      </c>
      <c r="E10" s="8" t="s">
        <v>33</v>
      </c>
      <c r="F10" s="51" t="s">
        <v>52</v>
      </c>
    </row>
    <row r="11" spans="1:7" s="1" customFormat="1" ht="19.5" customHeight="1" thickBot="1" x14ac:dyDescent="0.3">
      <c r="B11" s="9">
        <v>5</v>
      </c>
      <c r="C11" s="10" t="s">
        <v>181</v>
      </c>
      <c r="D11" s="17">
        <v>23625</v>
      </c>
      <c r="E11" s="10" t="s">
        <v>33</v>
      </c>
      <c r="F11" s="53" t="s">
        <v>52</v>
      </c>
    </row>
    <row r="12" spans="1:7" s="1" customFormat="1" ht="19.5" customHeight="1" x14ac:dyDescent="0.25">
      <c r="B12" s="7">
        <v>6</v>
      </c>
      <c r="C12" s="29" t="s">
        <v>199</v>
      </c>
      <c r="D12" s="30">
        <v>24000</v>
      </c>
      <c r="E12" s="24" t="s">
        <v>33</v>
      </c>
      <c r="F12" s="52" t="s">
        <v>53</v>
      </c>
    </row>
    <row r="13" spans="1:7" s="1" customFormat="1" ht="19.5" customHeight="1" x14ac:dyDescent="0.25">
      <c r="B13" s="5">
        <v>7</v>
      </c>
      <c r="C13" s="27" t="s">
        <v>200</v>
      </c>
      <c r="D13" s="28">
        <v>24000</v>
      </c>
      <c r="E13" s="24" t="s">
        <v>33</v>
      </c>
      <c r="F13" s="51" t="s">
        <v>53</v>
      </c>
    </row>
    <row r="14" spans="1:7" s="1" customFormat="1" ht="19.5" customHeight="1" x14ac:dyDescent="0.25">
      <c r="B14" s="5">
        <v>8</v>
      </c>
      <c r="C14" s="27" t="s">
        <v>201</v>
      </c>
      <c r="D14" s="28">
        <v>24000</v>
      </c>
      <c r="E14" s="26" t="s">
        <v>33</v>
      </c>
      <c r="F14" s="51" t="s">
        <v>53</v>
      </c>
    </row>
    <row r="15" spans="1:7" s="1" customFormat="1" ht="19.5" customHeight="1" x14ac:dyDescent="0.25">
      <c r="B15" s="7">
        <v>9</v>
      </c>
      <c r="C15" s="29" t="s">
        <v>202</v>
      </c>
      <c r="D15" s="30">
        <v>24000</v>
      </c>
      <c r="E15" s="26" t="s">
        <v>33</v>
      </c>
      <c r="F15" s="51" t="s">
        <v>53</v>
      </c>
    </row>
    <row r="16" spans="1:7" s="1" customFormat="1" ht="19.5" customHeight="1" x14ac:dyDescent="0.25">
      <c r="B16" s="5">
        <v>10</v>
      </c>
      <c r="C16" s="27" t="s">
        <v>203</v>
      </c>
      <c r="D16" s="28">
        <v>24000</v>
      </c>
      <c r="E16" s="26" t="s">
        <v>33</v>
      </c>
      <c r="F16" s="51" t="s">
        <v>53</v>
      </c>
    </row>
    <row r="17" spans="2:6" s="1" customFormat="1" ht="19.5" customHeight="1" x14ac:dyDescent="0.25">
      <c r="B17" s="5">
        <v>11</v>
      </c>
      <c r="C17" s="27" t="s">
        <v>204</v>
      </c>
      <c r="D17" s="28">
        <v>31000</v>
      </c>
      <c r="E17" s="26" t="s">
        <v>33</v>
      </c>
      <c r="F17" s="51" t="s">
        <v>53</v>
      </c>
    </row>
    <row r="18" spans="2:6" s="1" customFormat="1" ht="19.5" customHeight="1" x14ac:dyDescent="0.25">
      <c r="B18" s="5">
        <v>12</v>
      </c>
      <c r="C18" s="27" t="s">
        <v>205</v>
      </c>
      <c r="D18" s="28">
        <v>31000</v>
      </c>
      <c r="E18" s="26" t="s">
        <v>33</v>
      </c>
      <c r="F18" s="51" t="s">
        <v>53</v>
      </c>
    </row>
    <row r="19" spans="2:6" s="1" customFormat="1" ht="19.5" customHeight="1" x14ac:dyDescent="0.25">
      <c r="B19" s="5">
        <v>13</v>
      </c>
      <c r="C19" s="27" t="s">
        <v>206</v>
      </c>
      <c r="D19" s="28">
        <v>31000</v>
      </c>
      <c r="E19" s="26" t="s">
        <v>33</v>
      </c>
      <c r="F19" s="51" t="s">
        <v>53</v>
      </c>
    </row>
    <row r="20" spans="2:6" s="1" customFormat="1" ht="19.5" customHeight="1" x14ac:dyDescent="0.25">
      <c r="B20" s="5">
        <v>14</v>
      </c>
      <c r="C20" s="27" t="s">
        <v>207</v>
      </c>
      <c r="D20" s="28">
        <v>31000</v>
      </c>
      <c r="E20" s="26" t="s">
        <v>33</v>
      </c>
      <c r="F20" s="51" t="s">
        <v>53</v>
      </c>
    </row>
    <row r="21" spans="2:6" s="1" customFormat="1" ht="19.5" customHeight="1" x14ac:dyDescent="0.25">
      <c r="B21" s="5">
        <v>15</v>
      </c>
      <c r="C21" s="27" t="s">
        <v>208</v>
      </c>
      <c r="D21" s="28">
        <v>31000</v>
      </c>
      <c r="E21" s="26" t="s">
        <v>33</v>
      </c>
      <c r="F21" s="51" t="s">
        <v>53</v>
      </c>
    </row>
    <row r="22" spans="2:6" s="1" customFormat="1" ht="19.5" customHeight="1" x14ac:dyDescent="0.25">
      <c r="B22" s="5">
        <v>16</v>
      </c>
      <c r="C22" s="27" t="s">
        <v>209</v>
      </c>
      <c r="D22" s="28">
        <v>31000</v>
      </c>
      <c r="E22" s="26" t="s">
        <v>33</v>
      </c>
      <c r="F22" s="51" t="s">
        <v>53</v>
      </c>
    </row>
    <row r="23" spans="2:6" s="1" customFormat="1" ht="19.5" customHeight="1" x14ac:dyDescent="0.25">
      <c r="B23" s="5">
        <v>17</v>
      </c>
      <c r="C23" s="27" t="s">
        <v>210</v>
      </c>
      <c r="D23" s="28">
        <v>31000</v>
      </c>
      <c r="E23" s="26" t="s">
        <v>33</v>
      </c>
      <c r="F23" s="51" t="s">
        <v>53</v>
      </c>
    </row>
    <row r="24" spans="2:6" s="1" customFormat="1" ht="19.5" customHeight="1" x14ac:dyDescent="0.25">
      <c r="B24" s="5">
        <v>18</v>
      </c>
      <c r="C24" s="27" t="s">
        <v>211</v>
      </c>
      <c r="D24" s="28">
        <v>31000</v>
      </c>
      <c r="E24" s="26" t="s">
        <v>33</v>
      </c>
      <c r="F24" s="51" t="s">
        <v>53</v>
      </c>
    </row>
    <row r="25" spans="2:6" s="1" customFormat="1" ht="19.5" customHeight="1" x14ac:dyDescent="0.25">
      <c r="B25" s="5">
        <v>19</v>
      </c>
      <c r="C25" s="27" t="s">
        <v>212</v>
      </c>
      <c r="D25" s="28">
        <v>31000</v>
      </c>
      <c r="E25" s="26" t="s">
        <v>33</v>
      </c>
      <c r="F25" s="51" t="s">
        <v>53</v>
      </c>
    </row>
    <row r="26" spans="2:6" s="1" customFormat="1" ht="19.5" customHeight="1" x14ac:dyDescent="0.25">
      <c r="B26" s="5">
        <v>20</v>
      </c>
      <c r="C26" s="31" t="s">
        <v>213</v>
      </c>
      <c r="D26" s="28">
        <v>29500</v>
      </c>
      <c r="E26" s="26" t="s">
        <v>33</v>
      </c>
      <c r="F26" s="51" t="s">
        <v>53</v>
      </c>
    </row>
    <row r="27" spans="2:6" s="1" customFormat="1" ht="19.5" customHeight="1" x14ac:dyDescent="0.25">
      <c r="B27" s="5">
        <v>21</v>
      </c>
      <c r="C27" s="27" t="s">
        <v>214</v>
      </c>
      <c r="D27" s="28">
        <v>30000</v>
      </c>
      <c r="E27" s="26" t="s">
        <v>33</v>
      </c>
      <c r="F27" s="51" t="s">
        <v>53</v>
      </c>
    </row>
    <row r="28" spans="2:6" s="1" customFormat="1" ht="19.5" customHeight="1" x14ac:dyDescent="0.25">
      <c r="B28" s="5">
        <v>22</v>
      </c>
      <c r="C28" s="27" t="s">
        <v>215</v>
      </c>
      <c r="D28" s="28">
        <v>30000</v>
      </c>
      <c r="E28" s="26" t="s">
        <v>33</v>
      </c>
      <c r="F28" s="51" t="s">
        <v>53</v>
      </c>
    </row>
    <row r="29" spans="2:6" s="1" customFormat="1" ht="19.5" customHeight="1" x14ac:dyDescent="0.25">
      <c r="B29" s="5">
        <v>23</v>
      </c>
      <c r="C29" s="27" t="s">
        <v>216</v>
      </c>
      <c r="D29" s="28">
        <v>30000</v>
      </c>
      <c r="E29" s="26" t="s">
        <v>33</v>
      </c>
      <c r="F29" s="51" t="s">
        <v>53</v>
      </c>
    </row>
    <row r="30" spans="2:6" s="1" customFormat="1" ht="19.5" customHeight="1" x14ac:dyDescent="0.25">
      <c r="B30" s="5">
        <v>24</v>
      </c>
      <c r="C30" s="27" t="s">
        <v>217</v>
      </c>
      <c r="D30" s="28">
        <v>30000</v>
      </c>
      <c r="E30" s="26" t="s">
        <v>33</v>
      </c>
      <c r="F30" s="51" t="s">
        <v>53</v>
      </c>
    </row>
    <row r="31" spans="2:6" s="1" customFormat="1" ht="19.5" customHeight="1" x14ac:dyDescent="0.25">
      <c r="B31" s="5">
        <v>25</v>
      </c>
      <c r="C31" s="31" t="s">
        <v>218</v>
      </c>
      <c r="D31" s="28">
        <v>30800</v>
      </c>
      <c r="E31" s="26" t="s">
        <v>33</v>
      </c>
      <c r="F31" s="51" t="s">
        <v>53</v>
      </c>
    </row>
    <row r="32" spans="2:6" s="1" customFormat="1" ht="19.5" customHeight="1" x14ac:dyDescent="0.25">
      <c r="B32" s="5">
        <v>26</v>
      </c>
      <c r="C32" s="31" t="s">
        <v>219</v>
      </c>
      <c r="D32" s="28">
        <v>30000</v>
      </c>
      <c r="E32" s="26" t="s">
        <v>33</v>
      </c>
      <c r="F32" s="51" t="s">
        <v>53</v>
      </c>
    </row>
    <row r="33" spans="2:6" s="1" customFormat="1" ht="19.5" customHeight="1" x14ac:dyDescent="0.25">
      <c r="B33" s="5">
        <v>27</v>
      </c>
      <c r="C33" s="31" t="s">
        <v>220</v>
      </c>
      <c r="D33" s="28">
        <v>30000</v>
      </c>
      <c r="E33" s="26" t="s">
        <v>33</v>
      </c>
      <c r="F33" s="51" t="s">
        <v>53</v>
      </c>
    </row>
    <row r="34" spans="2:6" s="1" customFormat="1" ht="19.5" customHeight="1" x14ac:dyDescent="0.25">
      <c r="B34" s="5">
        <v>28</v>
      </c>
      <c r="C34" s="31" t="s">
        <v>221</v>
      </c>
      <c r="D34" s="28">
        <v>30800</v>
      </c>
      <c r="E34" s="26" t="s">
        <v>33</v>
      </c>
      <c r="F34" s="51" t="s">
        <v>53</v>
      </c>
    </row>
    <row r="35" spans="2:6" s="1" customFormat="1" ht="19.5" customHeight="1" x14ac:dyDescent="0.25">
      <c r="B35" s="5">
        <v>29</v>
      </c>
      <c r="C35" s="27" t="s">
        <v>222</v>
      </c>
      <c r="D35" s="28">
        <v>30800</v>
      </c>
      <c r="E35" s="26" t="s">
        <v>33</v>
      </c>
      <c r="F35" s="51" t="s">
        <v>53</v>
      </c>
    </row>
    <row r="36" spans="2:6" s="1" customFormat="1" ht="19.5" customHeight="1" x14ac:dyDescent="0.25">
      <c r="B36" s="5">
        <v>30</v>
      </c>
      <c r="C36" s="27" t="s">
        <v>223</v>
      </c>
      <c r="D36" s="28">
        <v>30800</v>
      </c>
      <c r="E36" s="26" t="s">
        <v>33</v>
      </c>
      <c r="F36" s="51" t="s">
        <v>53</v>
      </c>
    </row>
    <row r="37" spans="2:6" s="1" customFormat="1" ht="19.5" customHeight="1" x14ac:dyDescent="0.25">
      <c r="B37" s="5">
        <v>31</v>
      </c>
      <c r="C37" s="27" t="s">
        <v>224</v>
      </c>
      <c r="D37" s="28">
        <v>30000</v>
      </c>
      <c r="E37" s="26" t="s">
        <v>33</v>
      </c>
      <c r="F37" s="51" t="s">
        <v>53</v>
      </c>
    </row>
    <row r="38" spans="2:6" s="1" customFormat="1" ht="19.5" customHeight="1" x14ac:dyDescent="0.25">
      <c r="B38" s="5">
        <v>32</v>
      </c>
      <c r="C38" s="27" t="s">
        <v>225</v>
      </c>
      <c r="D38" s="28">
        <v>30000</v>
      </c>
      <c r="E38" s="26" t="s">
        <v>33</v>
      </c>
      <c r="F38" s="51" t="s">
        <v>53</v>
      </c>
    </row>
    <row r="39" spans="2:6" s="1" customFormat="1" ht="19.5" customHeight="1" x14ac:dyDescent="0.25">
      <c r="B39" s="5">
        <v>33</v>
      </c>
      <c r="C39" s="27" t="s">
        <v>226</v>
      </c>
      <c r="D39" s="28">
        <v>29000</v>
      </c>
      <c r="E39" s="26" t="s">
        <v>33</v>
      </c>
      <c r="F39" s="51" t="s">
        <v>53</v>
      </c>
    </row>
    <row r="40" spans="2:6" s="1" customFormat="1" ht="19.5" customHeight="1" x14ac:dyDescent="0.25">
      <c r="B40" s="5">
        <v>34</v>
      </c>
      <c r="C40" s="27" t="s">
        <v>227</v>
      </c>
      <c r="D40" s="28">
        <v>29500</v>
      </c>
      <c r="E40" s="26" t="s">
        <v>33</v>
      </c>
      <c r="F40" s="51" t="s">
        <v>53</v>
      </c>
    </row>
    <row r="41" spans="2:6" s="1" customFormat="1" ht="19.5" customHeight="1" x14ac:dyDescent="0.25">
      <c r="B41" s="5">
        <v>35</v>
      </c>
      <c r="C41" s="27" t="s">
        <v>228</v>
      </c>
      <c r="D41" s="28">
        <v>29500</v>
      </c>
      <c r="E41" s="26" t="s">
        <v>33</v>
      </c>
      <c r="F41" s="51" t="s">
        <v>53</v>
      </c>
    </row>
    <row r="42" spans="2:6" s="1" customFormat="1" ht="19.5" customHeight="1" x14ac:dyDescent="0.25">
      <c r="B42" s="5">
        <v>36</v>
      </c>
      <c r="C42" s="27" t="s">
        <v>229</v>
      </c>
      <c r="D42" s="28">
        <v>29500</v>
      </c>
      <c r="E42" s="26" t="s">
        <v>33</v>
      </c>
      <c r="F42" s="51" t="s">
        <v>53</v>
      </c>
    </row>
    <row r="43" spans="2:6" s="1" customFormat="1" ht="19.5" customHeight="1" x14ac:dyDescent="0.25">
      <c r="B43" s="5">
        <v>37</v>
      </c>
      <c r="C43" s="27" t="s">
        <v>230</v>
      </c>
      <c r="D43" s="28">
        <v>29500</v>
      </c>
      <c r="E43" s="26" t="s">
        <v>33</v>
      </c>
      <c r="F43" s="51" t="s">
        <v>53</v>
      </c>
    </row>
    <row r="44" spans="2:6" s="1" customFormat="1" ht="19.5" customHeight="1" x14ac:dyDescent="0.25">
      <c r="B44" s="5">
        <v>38</v>
      </c>
      <c r="C44" s="27" t="s">
        <v>231</v>
      </c>
      <c r="D44" s="28">
        <v>29000</v>
      </c>
      <c r="E44" s="26" t="s">
        <v>33</v>
      </c>
      <c r="F44" s="51" t="s">
        <v>53</v>
      </c>
    </row>
    <row r="45" spans="2:6" s="1" customFormat="1" ht="19.5" customHeight="1" x14ac:dyDescent="0.25">
      <c r="B45" s="5">
        <v>39</v>
      </c>
      <c r="C45" s="27" t="s">
        <v>232</v>
      </c>
      <c r="D45" s="28">
        <v>29000</v>
      </c>
      <c r="E45" s="26" t="s">
        <v>33</v>
      </c>
      <c r="F45" s="51" t="s">
        <v>53</v>
      </c>
    </row>
    <row r="46" spans="2:6" s="1" customFormat="1" ht="19.5" customHeight="1" x14ac:dyDescent="0.25">
      <c r="B46" s="5">
        <v>40</v>
      </c>
      <c r="C46" s="27" t="s">
        <v>233</v>
      </c>
      <c r="D46" s="28">
        <v>26300</v>
      </c>
      <c r="E46" s="26" t="s">
        <v>33</v>
      </c>
      <c r="F46" s="51" t="s">
        <v>53</v>
      </c>
    </row>
    <row r="47" spans="2:6" s="1" customFormat="1" ht="19.5" customHeight="1" x14ac:dyDescent="0.25">
      <c r="B47" s="5">
        <v>41</v>
      </c>
      <c r="C47" s="27" t="s">
        <v>234</v>
      </c>
      <c r="D47" s="28">
        <v>26300</v>
      </c>
      <c r="E47" s="26" t="s">
        <v>33</v>
      </c>
      <c r="F47" s="51" t="s">
        <v>53</v>
      </c>
    </row>
    <row r="48" spans="2:6" s="1" customFormat="1" ht="19.5" customHeight="1" x14ac:dyDescent="0.25">
      <c r="B48" s="5">
        <v>42</v>
      </c>
      <c r="C48" s="27" t="s">
        <v>235</v>
      </c>
      <c r="D48" s="28">
        <v>26300</v>
      </c>
      <c r="E48" s="26" t="s">
        <v>33</v>
      </c>
      <c r="F48" s="51" t="s">
        <v>53</v>
      </c>
    </row>
    <row r="49" spans="2:6" s="1" customFormat="1" ht="19.5" customHeight="1" x14ac:dyDescent="0.25">
      <c r="B49" s="5">
        <v>43</v>
      </c>
      <c r="C49" s="27" t="s">
        <v>236</v>
      </c>
      <c r="D49" s="28">
        <v>26300</v>
      </c>
      <c r="E49" s="26" t="s">
        <v>33</v>
      </c>
      <c r="F49" s="51" t="s">
        <v>53</v>
      </c>
    </row>
    <row r="50" spans="2:6" s="1" customFormat="1" ht="19.5" customHeight="1" x14ac:dyDescent="0.25">
      <c r="B50" s="5">
        <v>44</v>
      </c>
      <c r="C50" s="27" t="s">
        <v>237</v>
      </c>
      <c r="D50" s="28">
        <v>26300</v>
      </c>
      <c r="E50" s="26" t="s">
        <v>33</v>
      </c>
      <c r="F50" s="51" t="s">
        <v>53</v>
      </c>
    </row>
    <row r="51" spans="2:6" s="1" customFormat="1" ht="19.5" customHeight="1" x14ac:dyDescent="0.25">
      <c r="B51" s="5">
        <v>45</v>
      </c>
      <c r="C51" s="27" t="s">
        <v>238</v>
      </c>
      <c r="D51" s="28">
        <v>26300</v>
      </c>
      <c r="E51" s="26" t="s">
        <v>33</v>
      </c>
      <c r="F51" s="51" t="s">
        <v>53</v>
      </c>
    </row>
    <row r="52" spans="2:6" s="1" customFormat="1" ht="19.5" customHeight="1" x14ac:dyDescent="0.25">
      <c r="B52" s="5">
        <v>46</v>
      </c>
      <c r="C52" s="27" t="s">
        <v>239</v>
      </c>
      <c r="D52" s="28">
        <v>26300</v>
      </c>
      <c r="E52" s="26" t="s">
        <v>33</v>
      </c>
      <c r="F52" s="51" t="s">
        <v>53</v>
      </c>
    </row>
    <row r="53" spans="2:6" s="1" customFormat="1" ht="19.5" customHeight="1" x14ac:dyDescent="0.25">
      <c r="B53" s="5">
        <v>47</v>
      </c>
      <c r="C53" s="27" t="s">
        <v>240</v>
      </c>
      <c r="D53" s="28">
        <v>26300</v>
      </c>
      <c r="E53" s="26" t="s">
        <v>33</v>
      </c>
      <c r="F53" s="51" t="s">
        <v>53</v>
      </c>
    </row>
    <row r="54" spans="2:6" s="1" customFormat="1" ht="19.5" customHeight="1" x14ac:dyDescent="0.25">
      <c r="B54" s="5">
        <v>48</v>
      </c>
      <c r="C54" s="27" t="s">
        <v>241</v>
      </c>
      <c r="D54" s="28">
        <v>26300</v>
      </c>
      <c r="E54" s="26" t="s">
        <v>33</v>
      </c>
      <c r="F54" s="51" t="s">
        <v>53</v>
      </c>
    </row>
    <row r="55" spans="2:6" s="1" customFormat="1" ht="19.5" customHeight="1" x14ac:dyDescent="0.25">
      <c r="B55" s="5">
        <v>49</v>
      </c>
      <c r="C55" s="31" t="s">
        <v>242</v>
      </c>
      <c r="D55" s="28">
        <v>25300</v>
      </c>
      <c r="E55" s="26" t="s">
        <v>33</v>
      </c>
      <c r="F55" s="51" t="s">
        <v>53</v>
      </c>
    </row>
    <row r="56" spans="2:6" s="1" customFormat="1" ht="19.5" customHeight="1" x14ac:dyDescent="0.25">
      <c r="B56" s="5">
        <v>50</v>
      </c>
      <c r="C56" s="31" t="s">
        <v>243</v>
      </c>
      <c r="D56" s="28">
        <v>25300</v>
      </c>
      <c r="E56" s="26" t="s">
        <v>33</v>
      </c>
      <c r="F56" s="51" t="s">
        <v>53</v>
      </c>
    </row>
    <row r="57" spans="2:6" s="1" customFormat="1" ht="19.5" customHeight="1" x14ac:dyDescent="0.25">
      <c r="B57" s="5">
        <v>51</v>
      </c>
      <c r="C57" s="31" t="s">
        <v>244</v>
      </c>
      <c r="D57" s="28">
        <v>25300</v>
      </c>
      <c r="E57" s="26" t="s">
        <v>33</v>
      </c>
      <c r="F57" s="51" t="s">
        <v>53</v>
      </c>
    </row>
    <row r="58" spans="2:6" s="1" customFormat="1" ht="19.5" customHeight="1" x14ac:dyDescent="0.25">
      <c r="B58" s="5">
        <v>52</v>
      </c>
      <c r="C58" s="31" t="s">
        <v>245</v>
      </c>
      <c r="D58" s="28">
        <v>25300</v>
      </c>
      <c r="E58" s="26" t="s">
        <v>33</v>
      </c>
      <c r="F58" s="51" t="s">
        <v>53</v>
      </c>
    </row>
    <row r="59" spans="2:6" s="1" customFormat="1" ht="19.5" customHeight="1" x14ac:dyDescent="0.25">
      <c r="B59" s="5">
        <v>53</v>
      </c>
      <c r="C59" s="31" t="s">
        <v>246</v>
      </c>
      <c r="D59" s="28">
        <v>25300</v>
      </c>
      <c r="E59" s="26" t="s">
        <v>33</v>
      </c>
      <c r="F59" s="51" t="s">
        <v>53</v>
      </c>
    </row>
    <row r="60" spans="2:6" s="1" customFormat="1" ht="19.5" customHeight="1" x14ac:dyDescent="0.25">
      <c r="B60" s="5">
        <v>54</v>
      </c>
      <c r="C60" s="31" t="s">
        <v>247</v>
      </c>
      <c r="D60" s="28">
        <v>25300</v>
      </c>
      <c r="E60" s="26" t="s">
        <v>33</v>
      </c>
      <c r="F60" s="51" t="s">
        <v>53</v>
      </c>
    </row>
    <row r="61" spans="2:6" s="1" customFormat="1" ht="19.5" customHeight="1" x14ac:dyDescent="0.25">
      <c r="B61" s="5">
        <v>55</v>
      </c>
      <c r="C61" s="31" t="s">
        <v>248</v>
      </c>
      <c r="D61" s="28">
        <v>25300</v>
      </c>
      <c r="E61" s="26" t="s">
        <v>33</v>
      </c>
      <c r="F61" s="51" t="s">
        <v>53</v>
      </c>
    </row>
    <row r="62" spans="2:6" s="1" customFormat="1" ht="19.5" customHeight="1" x14ac:dyDescent="0.25">
      <c r="B62" s="5">
        <v>56</v>
      </c>
      <c r="C62" s="31" t="s">
        <v>249</v>
      </c>
      <c r="D62" s="28">
        <v>25300</v>
      </c>
      <c r="E62" s="26" t="s">
        <v>33</v>
      </c>
      <c r="F62" s="51" t="s">
        <v>53</v>
      </c>
    </row>
    <row r="63" spans="2:6" s="1" customFormat="1" ht="19.5" customHeight="1" x14ac:dyDescent="0.25">
      <c r="B63" s="5">
        <v>57</v>
      </c>
      <c r="C63" s="31" t="s">
        <v>250</v>
      </c>
      <c r="D63" s="28">
        <v>25300</v>
      </c>
      <c r="E63" s="26" t="s">
        <v>33</v>
      </c>
      <c r="F63" s="51" t="s">
        <v>53</v>
      </c>
    </row>
    <row r="64" spans="2:6" s="1" customFormat="1" ht="19.5" customHeight="1" x14ac:dyDescent="0.25">
      <c r="B64" s="5">
        <v>58</v>
      </c>
      <c r="C64" s="31" t="s">
        <v>251</v>
      </c>
      <c r="D64" s="28">
        <v>25300</v>
      </c>
      <c r="E64" s="26" t="s">
        <v>33</v>
      </c>
      <c r="F64" s="51" t="s">
        <v>53</v>
      </c>
    </row>
    <row r="65" spans="2:6" s="1" customFormat="1" ht="19.5" customHeight="1" thickBot="1" x14ac:dyDescent="0.3">
      <c r="B65" s="9">
        <v>59</v>
      </c>
      <c r="C65" s="10"/>
      <c r="D65" s="17"/>
      <c r="E65" s="25" t="s">
        <v>33</v>
      </c>
      <c r="F65" s="53" t="s">
        <v>53</v>
      </c>
    </row>
    <row r="66" spans="2:6" s="1" customFormat="1" ht="19.5" customHeight="1" x14ac:dyDescent="0.25">
      <c r="B66" s="7">
        <v>60</v>
      </c>
      <c r="C66" s="54" t="s">
        <v>58</v>
      </c>
      <c r="D66" s="15">
        <v>22425</v>
      </c>
      <c r="E66" s="8" t="s">
        <v>33</v>
      </c>
      <c r="F66" s="52" t="s">
        <v>50</v>
      </c>
    </row>
    <row r="67" spans="2:6" s="1" customFormat="1" ht="19.5" customHeight="1" x14ac:dyDescent="0.25">
      <c r="B67" s="5">
        <v>61</v>
      </c>
      <c r="C67" s="19" t="s">
        <v>59</v>
      </c>
      <c r="D67" s="16">
        <v>22425</v>
      </c>
      <c r="E67" s="6" t="s">
        <v>33</v>
      </c>
      <c r="F67" s="51" t="s">
        <v>50</v>
      </c>
    </row>
    <row r="68" spans="2:6" s="1" customFormat="1" ht="19.5" customHeight="1" x14ac:dyDescent="0.25">
      <c r="B68" s="5">
        <v>62</v>
      </c>
      <c r="C68" s="20" t="s">
        <v>60</v>
      </c>
      <c r="D68" s="16">
        <v>23080</v>
      </c>
      <c r="E68" s="6" t="s">
        <v>33</v>
      </c>
      <c r="F68" s="51" t="s">
        <v>50</v>
      </c>
    </row>
    <row r="69" spans="2:6" s="1" customFormat="1" ht="19.5" customHeight="1" x14ac:dyDescent="0.25">
      <c r="B69" s="5">
        <v>63</v>
      </c>
      <c r="C69" s="20" t="s">
        <v>61</v>
      </c>
      <c r="D69" s="16">
        <v>23080</v>
      </c>
      <c r="E69" s="6" t="s">
        <v>33</v>
      </c>
      <c r="F69" s="51" t="s">
        <v>50</v>
      </c>
    </row>
    <row r="70" spans="2:6" s="1" customFormat="1" ht="19.5" customHeight="1" x14ac:dyDescent="0.25">
      <c r="B70" s="5">
        <v>64</v>
      </c>
      <c r="C70" s="20" t="s">
        <v>62</v>
      </c>
      <c r="D70" s="16">
        <v>24380</v>
      </c>
      <c r="E70" s="6" t="s">
        <v>33</v>
      </c>
      <c r="F70" s="51" t="s">
        <v>50</v>
      </c>
    </row>
    <row r="71" spans="2:6" s="1" customFormat="1" ht="19.5" customHeight="1" x14ac:dyDescent="0.25">
      <c r="B71" s="5">
        <v>65</v>
      </c>
      <c r="C71" s="20" t="s">
        <v>63</v>
      </c>
      <c r="D71" s="16">
        <v>24380</v>
      </c>
      <c r="E71" s="6" t="s">
        <v>33</v>
      </c>
      <c r="F71" s="51" t="s">
        <v>50</v>
      </c>
    </row>
    <row r="72" spans="2:6" s="1" customFormat="1" ht="19.5" customHeight="1" x14ac:dyDescent="0.25">
      <c r="B72" s="5">
        <v>66</v>
      </c>
      <c r="C72" s="20" t="s">
        <v>64</v>
      </c>
      <c r="D72" s="16">
        <v>24380</v>
      </c>
      <c r="E72" s="6" t="s">
        <v>33</v>
      </c>
      <c r="F72" s="51" t="s">
        <v>50</v>
      </c>
    </row>
    <row r="73" spans="2:6" s="1" customFormat="1" ht="19.5" customHeight="1" x14ac:dyDescent="0.25">
      <c r="B73" s="5">
        <v>67</v>
      </c>
      <c r="C73" s="20" t="s">
        <v>65</v>
      </c>
      <c r="D73" s="16">
        <v>23780</v>
      </c>
      <c r="E73" s="6" t="s">
        <v>33</v>
      </c>
      <c r="F73" s="51" t="s">
        <v>50</v>
      </c>
    </row>
    <row r="74" spans="2:6" s="1" customFormat="1" ht="19.5" customHeight="1" x14ac:dyDescent="0.25">
      <c r="B74" s="5">
        <v>68</v>
      </c>
      <c r="C74" s="20" t="s">
        <v>66</v>
      </c>
      <c r="D74" s="16">
        <v>24380</v>
      </c>
      <c r="E74" s="6" t="s">
        <v>33</v>
      </c>
      <c r="F74" s="51" t="s">
        <v>50</v>
      </c>
    </row>
    <row r="75" spans="2:6" s="1" customFormat="1" ht="19.5" customHeight="1" x14ac:dyDescent="0.25">
      <c r="B75" s="5">
        <v>69</v>
      </c>
      <c r="C75" s="20" t="s">
        <v>67</v>
      </c>
      <c r="D75" s="16">
        <v>24380</v>
      </c>
      <c r="E75" s="6" t="s">
        <v>33</v>
      </c>
      <c r="F75" s="51" t="s">
        <v>50</v>
      </c>
    </row>
    <row r="76" spans="2:6" s="1" customFormat="1" ht="19.5" customHeight="1" x14ac:dyDescent="0.25">
      <c r="B76" s="5">
        <v>70</v>
      </c>
      <c r="C76" s="20" t="s">
        <v>68</v>
      </c>
      <c r="D76" s="16">
        <v>23780</v>
      </c>
      <c r="E76" s="6" t="s">
        <v>33</v>
      </c>
      <c r="F76" s="51" t="s">
        <v>50</v>
      </c>
    </row>
    <row r="77" spans="2:6" s="1" customFormat="1" ht="19.5" customHeight="1" x14ac:dyDescent="0.25">
      <c r="B77" s="5">
        <v>71</v>
      </c>
      <c r="C77" s="20" t="s">
        <v>69</v>
      </c>
      <c r="D77" s="16">
        <v>23780</v>
      </c>
      <c r="E77" s="6" t="s">
        <v>33</v>
      </c>
      <c r="F77" s="51" t="s">
        <v>50</v>
      </c>
    </row>
    <row r="78" spans="2:6" s="1" customFormat="1" ht="19.5" customHeight="1" x14ac:dyDescent="0.25">
      <c r="B78" s="5">
        <v>72</v>
      </c>
      <c r="C78" s="20" t="s">
        <v>70</v>
      </c>
      <c r="D78" s="16">
        <v>24380</v>
      </c>
      <c r="E78" s="6" t="s">
        <v>33</v>
      </c>
      <c r="F78" s="51" t="s">
        <v>50</v>
      </c>
    </row>
    <row r="79" spans="2:6" s="1" customFormat="1" ht="19.5" customHeight="1" x14ac:dyDescent="0.25">
      <c r="B79" s="5">
        <v>73</v>
      </c>
      <c r="C79" s="20" t="s">
        <v>71</v>
      </c>
      <c r="D79" s="16">
        <v>24380</v>
      </c>
      <c r="E79" s="6" t="s">
        <v>33</v>
      </c>
      <c r="F79" s="51" t="s">
        <v>50</v>
      </c>
    </row>
    <row r="80" spans="2:6" s="1" customFormat="1" ht="19.5" customHeight="1" x14ac:dyDescent="0.25">
      <c r="B80" s="5">
        <v>74</v>
      </c>
      <c r="C80" s="20" t="s">
        <v>72</v>
      </c>
      <c r="D80" s="16">
        <v>24380</v>
      </c>
      <c r="E80" s="6" t="s">
        <v>33</v>
      </c>
      <c r="F80" s="51" t="s">
        <v>50</v>
      </c>
    </row>
    <row r="81" spans="2:6" s="1" customFormat="1" ht="19.5" customHeight="1" x14ac:dyDescent="0.25">
      <c r="B81" s="5">
        <v>75</v>
      </c>
      <c r="C81" s="19" t="s">
        <v>73</v>
      </c>
      <c r="D81" s="16">
        <v>22425</v>
      </c>
      <c r="E81" s="6" t="s">
        <v>33</v>
      </c>
      <c r="F81" s="51" t="s">
        <v>50</v>
      </c>
    </row>
    <row r="82" spans="2:6" s="1" customFormat="1" ht="19.5" customHeight="1" x14ac:dyDescent="0.25">
      <c r="B82" s="5">
        <v>76</v>
      </c>
      <c r="C82" s="19" t="s">
        <v>74</v>
      </c>
      <c r="D82" s="16">
        <v>22425</v>
      </c>
      <c r="E82" s="6" t="s">
        <v>33</v>
      </c>
      <c r="F82" s="51" t="s">
        <v>50</v>
      </c>
    </row>
    <row r="83" spans="2:6" s="1" customFormat="1" ht="19.5" customHeight="1" x14ac:dyDescent="0.25">
      <c r="B83" s="5">
        <v>77</v>
      </c>
      <c r="C83" s="19" t="s">
        <v>75</v>
      </c>
      <c r="D83" s="16">
        <v>22425</v>
      </c>
      <c r="E83" s="6" t="s">
        <v>33</v>
      </c>
      <c r="F83" s="51" t="s">
        <v>50</v>
      </c>
    </row>
    <row r="84" spans="2:6" s="1" customFormat="1" ht="19.5" customHeight="1" x14ac:dyDescent="0.25">
      <c r="B84" s="5">
        <v>78</v>
      </c>
      <c r="C84" s="19" t="s">
        <v>76</v>
      </c>
      <c r="D84" s="16">
        <v>22425</v>
      </c>
      <c r="E84" s="6" t="s">
        <v>33</v>
      </c>
      <c r="F84" s="51" t="s">
        <v>50</v>
      </c>
    </row>
    <row r="85" spans="2:6" s="1" customFormat="1" ht="19.5" customHeight="1" x14ac:dyDescent="0.25">
      <c r="B85" s="5">
        <v>79</v>
      </c>
      <c r="C85" s="19" t="s">
        <v>77</v>
      </c>
      <c r="D85" s="16">
        <v>22425</v>
      </c>
      <c r="E85" s="6" t="s">
        <v>33</v>
      </c>
      <c r="F85" s="51" t="s">
        <v>50</v>
      </c>
    </row>
    <row r="86" spans="2:6" s="1" customFormat="1" ht="19.5" customHeight="1" x14ac:dyDescent="0.25">
      <c r="B86" s="5">
        <v>80</v>
      </c>
      <c r="C86" s="19" t="s">
        <v>78</v>
      </c>
      <c r="D86" s="16">
        <v>22425</v>
      </c>
      <c r="E86" s="6" t="s">
        <v>33</v>
      </c>
      <c r="F86" s="51" t="s">
        <v>50</v>
      </c>
    </row>
    <row r="87" spans="2:6" s="1" customFormat="1" ht="19.5" customHeight="1" x14ac:dyDescent="0.25">
      <c r="B87" s="5">
        <v>81</v>
      </c>
      <c r="C87" s="19" t="s">
        <v>79</v>
      </c>
      <c r="D87" s="16">
        <v>22425</v>
      </c>
      <c r="E87" s="6" t="s">
        <v>33</v>
      </c>
      <c r="F87" s="51" t="s">
        <v>50</v>
      </c>
    </row>
    <row r="88" spans="2:6" s="1" customFormat="1" ht="19.5" customHeight="1" x14ac:dyDescent="0.25">
      <c r="B88" s="5">
        <v>82</v>
      </c>
      <c r="C88" s="19" t="s">
        <v>80</v>
      </c>
      <c r="D88" s="16">
        <v>22425</v>
      </c>
      <c r="E88" s="6" t="s">
        <v>33</v>
      </c>
      <c r="F88" s="51" t="s">
        <v>50</v>
      </c>
    </row>
    <row r="89" spans="2:6" s="1" customFormat="1" ht="19.5" customHeight="1" x14ac:dyDescent="0.25">
      <c r="B89" s="5">
        <v>83</v>
      </c>
      <c r="C89" s="19" t="s">
        <v>81</v>
      </c>
      <c r="D89" s="16">
        <v>22425</v>
      </c>
      <c r="E89" s="6" t="s">
        <v>33</v>
      </c>
      <c r="F89" s="51" t="s">
        <v>50</v>
      </c>
    </row>
    <row r="90" spans="2:6" s="1" customFormat="1" ht="19.5" customHeight="1" x14ac:dyDescent="0.25">
      <c r="B90" s="5">
        <v>84</v>
      </c>
      <c r="C90" s="19" t="s">
        <v>82</v>
      </c>
      <c r="D90" s="16">
        <v>22425</v>
      </c>
      <c r="E90" s="6" t="s">
        <v>33</v>
      </c>
      <c r="F90" s="51" t="s">
        <v>50</v>
      </c>
    </row>
    <row r="91" spans="2:6" s="1" customFormat="1" ht="19.5" customHeight="1" x14ac:dyDescent="0.25">
      <c r="B91" s="5">
        <v>85</v>
      </c>
      <c r="C91" s="19" t="s">
        <v>83</v>
      </c>
      <c r="D91" s="16">
        <v>22425</v>
      </c>
      <c r="E91" s="6" t="s">
        <v>33</v>
      </c>
      <c r="F91" s="51" t="s">
        <v>50</v>
      </c>
    </row>
    <row r="92" spans="2:6" s="1" customFormat="1" ht="19.5" customHeight="1" x14ac:dyDescent="0.25">
      <c r="B92" s="5">
        <v>86</v>
      </c>
      <c r="C92" s="19" t="s">
        <v>84</v>
      </c>
      <c r="D92" s="16">
        <v>22425</v>
      </c>
      <c r="E92" s="6" t="s">
        <v>33</v>
      </c>
      <c r="F92" s="51" t="s">
        <v>50</v>
      </c>
    </row>
    <row r="93" spans="2:6" s="1" customFormat="1" ht="19.5" customHeight="1" x14ac:dyDescent="0.25">
      <c r="B93" s="5">
        <v>87</v>
      </c>
      <c r="C93" s="20" t="s">
        <v>85</v>
      </c>
      <c r="D93" s="16">
        <v>24800</v>
      </c>
      <c r="E93" s="6" t="s">
        <v>33</v>
      </c>
      <c r="F93" s="51" t="s">
        <v>50</v>
      </c>
    </row>
    <row r="94" spans="2:6" s="1" customFormat="1" ht="19.5" customHeight="1" x14ac:dyDescent="0.25">
      <c r="B94" s="5">
        <v>88</v>
      </c>
      <c r="C94" s="19" t="s">
        <v>86</v>
      </c>
      <c r="D94" s="16">
        <v>22425</v>
      </c>
      <c r="E94" s="6" t="s">
        <v>33</v>
      </c>
      <c r="F94" s="51" t="s">
        <v>50</v>
      </c>
    </row>
    <row r="95" spans="2:6" s="1" customFormat="1" ht="19.5" customHeight="1" x14ac:dyDescent="0.25">
      <c r="B95" s="5">
        <v>89</v>
      </c>
      <c r="C95" s="19" t="s">
        <v>87</v>
      </c>
      <c r="D95" s="16">
        <v>22425</v>
      </c>
      <c r="E95" s="6" t="s">
        <v>33</v>
      </c>
      <c r="F95" s="51" t="s">
        <v>50</v>
      </c>
    </row>
    <row r="96" spans="2:6" s="1" customFormat="1" ht="19.5" customHeight="1" x14ac:dyDescent="0.25">
      <c r="B96" s="5">
        <v>90</v>
      </c>
      <c r="C96" s="19" t="s">
        <v>88</v>
      </c>
      <c r="D96" s="16">
        <v>22425</v>
      </c>
      <c r="E96" s="6" t="s">
        <v>33</v>
      </c>
      <c r="F96" s="51" t="s">
        <v>50</v>
      </c>
    </row>
    <row r="97" spans="2:6" s="1" customFormat="1" ht="19.5" customHeight="1" x14ac:dyDescent="0.25">
      <c r="B97" s="5">
        <v>91</v>
      </c>
      <c r="C97" s="19" t="s">
        <v>89</v>
      </c>
      <c r="D97" s="16">
        <v>22425</v>
      </c>
      <c r="E97" s="6" t="s">
        <v>33</v>
      </c>
      <c r="F97" s="51" t="s">
        <v>50</v>
      </c>
    </row>
    <row r="98" spans="2:6" s="1" customFormat="1" ht="19.5" customHeight="1" x14ac:dyDescent="0.25">
      <c r="B98" s="5">
        <v>92</v>
      </c>
      <c r="C98" s="19" t="s">
        <v>90</v>
      </c>
      <c r="D98" s="16">
        <v>22425</v>
      </c>
      <c r="E98" s="6" t="s">
        <v>33</v>
      </c>
      <c r="F98" s="51" t="s">
        <v>50</v>
      </c>
    </row>
    <row r="99" spans="2:6" s="1" customFormat="1" ht="19.5" customHeight="1" x14ac:dyDescent="0.25">
      <c r="B99" s="5">
        <v>93</v>
      </c>
      <c r="C99" s="19" t="s">
        <v>91</v>
      </c>
      <c r="D99" s="16">
        <v>22425</v>
      </c>
      <c r="E99" s="6" t="s">
        <v>33</v>
      </c>
      <c r="F99" s="51" t="s">
        <v>50</v>
      </c>
    </row>
    <row r="100" spans="2:6" s="1" customFormat="1" ht="19.5" customHeight="1" x14ac:dyDescent="0.25">
      <c r="B100" s="5">
        <v>94</v>
      </c>
      <c r="C100" s="19" t="s">
        <v>92</v>
      </c>
      <c r="D100" s="16">
        <v>22425</v>
      </c>
      <c r="E100" s="6" t="s">
        <v>33</v>
      </c>
      <c r="F100" s="51" t="s">
        <v>50</v>
      </c>
    </row>
    <row r="101" spans="2:6" s="1" customFormat="1" ht="19.5" customHeight="1" x14ac:dyDescent="0.25">
      <c r="B101" s="5">
        <v>95</v>
      </c>
      <c r="C101" s="19" t="s">
        <v>93</v>
      </c>
      <c r="D101" s="16">
        <v>22425</v>
      </c>
      <c r="E101" s="6" t="s">
        <v>33</v>
      </c>
      <c r="F101" s="51" t="s">
        <v>50</v>
      </c>
    </row>
    <row r="102" spans="2:6" s="1" customFormat="1" ht="19.5" customHeight="1" x14ac:dyDescent="0.25">
      <c r="B102" s="5">
        <v>96</v>
      </c>
      <c r="C102" s="19" t="s">
        <v>94</v>
      </c>
      <c r="D102" s="16">
        <v>22425</v>
      </c>
      <c r="E102" s="6" t="s">
        <v>33</v>
      </c>
      <c r="F102" s="51" t="s">
        <v>50</v>
      </c>
    </row>
    <row r="103" spans="2:6" s="1" customFormat="1" ht="19.5" customHeight="1" x14ac:dyDescent="0.25">
      <c r="B103" s="5">
        <v>97</v>
      </c>
      <c r="C103" s="19" t="s">
        <v>95</v>
      </c>
      <c r="D103" s="16">
        <v>22425</v>
      </c>
      <c r="E103" s="6" t="s">
        <v>33</v>
      </c>
      <c r="F103" s="51" t="s">
        <v>50</v>
      </c>
    </row>
    <row r="104" spans="2:6" s="1" customFormat="1" ht="19.5" customHeight="1" x14ac:dyDescent="0.25">
      <c r="B104" s="5">
        <v>98</v>
      </c>
      <c r="C104" s="19" t="s">
        <v>96</v>
      </c>
      <c r="D104" s="16">
        <v>22425</v>
      </c>
      <c r="E104" s="6" t="s">
        <v>33</v>
      </c>
      <c r="F104" s="51" t="s">
        <v>50</v>
      </c>
    </row>
    <row r="105" spans="2:6" s="1" customFormat="1" ht="19.5" customHeight="1" x14ac:dyDescent="0.25">
      <c r="B105" s="5">
        <v>99</v>
      </c>
      <c r="C105" s="19" t="s">
        <v>97</v>
      </c>
      <c r="D105" s="16">
        <v>22425</v>
      </c>
      <c r="E105" s="6" t="s">
        <v>33</v>
      </c>
      <c r="F105" s="51" t="s">
        <v>50</v>
      </c>
    </row>
    <row r="106" spans="2:6" s="1" customFormat="1" ht="19.5" customHeight="1" x14ac:dyDescent="0.25">
      <c r="B106" s="5">
        <v>100</v>
      </c>
      <c r="C106" s="19" t="s">
        <v>98</v>
      </c>
      <c r="D106" s="16">
        <v>22425</v>
      </c>
      <c r="E106" s="6" t="s">
        <v>33</v>
      </c>
      <c r="F106" s="51" t="s">
        <v>50</v>
      </c>
    </row>
    <row r="107" spans="2:6" s="1" customFormat="1" ht="19.5" customHeight="1" x14ac:dyDescent="0.25">
      <c r="B107" s="5">
        <v>101</v>
      </c>
      <c r="C107" s="19" t="s">
        <v>99</v>
      </c>
      <c r="D107" s="16">
        <v>22425</v>
      </c>
      <c r="E107" s="6" t="s">
        <v>33</v>
      </c>
      <c r="F107" s="51" t="s">
        <v>50</v>
      </c>
    </row>
    <row r="108" spans="2:6" s="1" customFormat="1" ht="19.5" customHeight="1" x14ac:dyDescent="0.25">
      <c r="B108" s="5">
        <v>102</v>
      </c>
      <c r="C108" s="21" t="s">
        <v>100</v>
      </c>
      <c r="D108" s="16">
        <v>24625</v>
      </c>
      <c r="E108" s="6" t="s">
        <v>33</v>
      </c>
      <c r="F108" s="51" t="s">
        <v>50</v>
      </c>
    </row>
    <row r="109" spans="2:6" s="1" customFormat="1" ht="19.5" customHeight="1" x14ac:dyDescent="0.25">
      <c r="B109" s="5">
        <v>103</v>
      </c>
      <c r="C109" s="21" t="s">
        <v>101</v>
      </c>
      <c r="D109" s="16">
        <v>24625</v>
      </c>
      <c r="E109" s="6" t="s">
        <v>33</v>
      </c>
      <c r="F109" s="51" t="s">
        <v>50</v>
      </c>
    </row>
    <row r="110" spans="2:6" s="1" customFormat="1" ht="19.5" customHeight="1" x14ac:dyDescent="0.25">
      <c r="B110" s="5">
        <v>104</v>
      </c>
      <c r="C110" s="21" t="s">
        <v>102</v>
      </c>
      <c r="D110" s="16">
        <v>24625</v>
      </c>
      <c r="E110" s="6" t="s">
        <v>33</v>
      </c>
      <c r="F110" s="51" t="s">
        <v>50</v>
      </c>
    </row>
    <row r="111" spans="2:6" s="1" customFormat="1" ht="19.5" customHeight="1" x14ac:dyDescent="0.25">
      <c r="B111" s="5">
        <v>105</v>
      </c>
      <c r="C111" s="21" t="s">
        <v>103</v>
      </c>
      <c r="D111" s="16">
        <v>24625</v>
      </c>
      <c r="E111" s="6" t="s">
        <v>33</v>
      </c>
      <c r="F111" s="51" t="s">
        <v>50</v>
      </c>
    </row>
    <row r="112" spans="2:6" s="1" customFormat="1" ht="19.5" customHeight="1" x14ac:dyDescent="0.25">
      <c r="B112" s="5">
        <v>106</v>
      </c>
      <c r="C112" s="20" t="s">
        <v>104</v>
      </c>
      <c r="D112" s="16">
        <v>24200</v>
      </c>
      <c r="E112" s="6" t="s">
        <v>33</v>
      </c>
      <c r="F112" s="51" t="s">
        <v>50</v>
      </c>
    </row>
    <row r="113" spans="2:6" s="1" customFormat="1" ht="19.5" customHeight="1" x14ac:dyDescent="0.25">
      <c r="B113" s="5">
        <v>107</v>
      </c>
      <c r="C113" s="20" t="s">
        <v>105</v>
      </c>
      <c r="D113" s="16">
        <v>24200</v>
      </c>
      <c r="E113" s="6" t="s">
        <v>33</v>
      </c>
      <c r="F113" s="51" t="s">
        <v>50</v>
      </c>
    </row>
    <row r="114" spans="2:6" s="1" customFormat="1" ht="19.5" customHeight="1" x14ac:dyDescent="0.25">
      <c r="B114" s="5">
        <v>108</v>
      </c>
      <c r="C114" s="20" t="s">
        <v>106</v>
      </c>
      <c r="D114" s="16">
        <v>24900</v>
      </c>
      <c r="E114" s="6" t="s">
        <v>33</v>
      </c>
      <c r="F114" s="51" t="s">
        <v>50</v>
      </c>
    </row>
    <row r="115" spans="2:6" s="1" customFormat="1" ht="19.5" customHeight="1" x14ac:dyDescent="0.25">
      <c r="B115" s="5">
        <v>109</v>
      </c>
      <c r="C115" s="21" t="s">
        <v>107</v>
      </c>
      <c r="D115" s="16">
        <v>24625</v>
      </c>
      <c r="E115" s="6" t="s">
        <v>33</v>
      </c>
      <c r="F115" s="51" t="s">
        <v>50</v>
      </c>
    </row>
    <row r="116" spans="2:6" s="1" customFormat="1" ht="19.5" customHeight="1" x14ac:dyDescent="0.25">
      <c r="B116" s="5">
        <v>110</v>
      </c>
      <c r="C116" s="21" t="s">
        <v>108</v>
      </c>
      <c r="D116" s="16">
        <v>24625</v>
      </c>
      <c r="E116" s="6" t="s">
        <v>33</v>
      </c>
      <c r="F116" s="51" t="s">
        <v>50</v>
      </c>
    </row>
    <row r="117" spans="2:6" s="1" customFormat="1" ht="19.5" customHeight="1" x14ac:dyDescent="0.25">
      <c r="B117" s="5">
        <v>111</v>
      </c>
      <c r="C117" s="21" t="s">
        <v>109</v>
      </c>
      <c r="D117" s="16">
        <v>26125</v>
      </c>
      <c r="E117" s="6" t="s">
        <v>33</v>
      </c>
      <c r="F117" s="51" t="s">
        <v>50</v>
      </c>
    </row>
    <row r="118" spans="2:6" s="1" customFormat="1" ht="19.5" customHeight="1" x14ac:dyDescent="0.25">
      <c r="B118" s="5">
        <v>112</v>
      </c>
      <c r="C118" s="21" t="s">
        <v>110</v>
      </c>
      <c r="D118" s="16">
        <v>24625</v>
      </c>
      <c r="E118" s="6" t="s">
        <v>33</v>
      </c>
      <c r="F118" s="51" t="s">
        <v>50</v>
      </c>
    </row>
    <row r="119" spans="2:6" s="1" customFormat="1" ht="19.5" customHeight="1" x14ac:dyDescent="0.25">
      <c r="B119" s="5">
        <v>113</v>
      </c>
      <c r="C119" s="20" t="s">
        <v>111</v>
      </c>
      <c r="D119" s="16">
        <v>23600</v>
      </c>
      <c r="E119" s="6" t="s">
        <v>33</v>
      </c>
      <c r="F119" s="51" t="s">
        <v>50</v>
      </c>
    </row>
    <row r="120" spans="2:6" s="1" customFormat="1" ht="19.5" customHeight="1" x14ac:dyDescent="0.25">
      <c r="B120" s="5">
        <v>114</v>
      </c>
      <c r="C120" s="20" t="s">
        <v>112</v>
      </c>
      <c r="D120" s="16">
        <v>24200</v>
      </c>
      <c r="E120" s="6" t="s">
        <v>33</v>
      </c>
      <c r="F120" s="51" t="s">
        <v>50</v>
      </c>
    </row>
    <row r="121" spans="2:6" s="1" customFormat="1" ht="19.5" customHeight="1" x14ac:dyDescent="0.25">
      <c r="B121" s="5">
        <v>115</v>
      </c>
      <c r="C121" s="21" t="s">
        <v>113</v>
      </c>
      <c r="D121" s="16">
        <v>24625</v>
      </c>
      <c r="E121" s="6" t="s">
        <v>33</v>
      </c>
      <c r="F121" s="51" t="s">
        <v>50</v>
      </c>
    </row>
    <row r="122" spans="2:6" s="1" customFormat="1" ht="19.5" customHeight="1" x14ac:dyDescent="0.25">
      <c r="B122" s="5">
        <v>116</v>
      </c>
      <c r="C122" s="20" t="s">
        <v>114</v>
      </c>
      <c r="D122" s="16">
        <v>23600</v>
      </c>
      <c r="E122" s="6" t="s">
        <v>33</v>
      </c>
      <c r="F122" s="51" t="s">
        <v>50</v>
      </c>
    </row>
    <row r="123" spans="2:6" s="1" customFormat="1" ht="19.5" customHeight="1" x14ac:dyDescent="0.25">
      <c r="B123" s="5">
        <v>117</v>
      </c>
      <c r="C123" s="20" t="s">
        <v>115</v>
      </c>
      <c r="D123" s="16">
        <v>23600</v>
      </c>
      <c r="E123" s="6" t="s">
        <v>33</v>
      </c>
      <c r="F123" s="51" t="s">
        <v>50</v>
      </c>
    </row>
    <row r="124" spans="2:6" s="1" customFormat="1" ht="19.5" customHeight="1" x14ac:dyDescent="0.25">
      <c r="B124" s="5">
        <v>118</v>
      </c>
      <c r="C124" s="20" t="s">
        <v>116</v>
      </c>
      <c r="D124" s="16">
        <v>24900</v>
      </c>
      <c r="E124" s="6" t="s">
        <v>33</v>
      </c>
      <c r="F124" s="51" t="s">
        <v>50</v>
      </c>
    </row>
    <row r="125" spans="2:6" s="1" customFormat="1" ht="19.5" customHeight="1" x14ac:dyDescent="0.25">
      <c r="B125" s="5">
        <v>119</v>
      </c>
      <c r="C125" s="20" t="s">
        <v>117</v>
      </c>
      <c r="D125" s="16">
        <v>24900</v>
      </c>
      <c r="E125" s="6" t="s">
        <v>33</v>
      </c>
      <c r="F125" s="51" t="s">
        <v>50</v>
      </c>
    </row>
    <row r="126" spans="2:6" s="1" customFormat="1" ht="19.5" customHeight="1" x14ac:dyDescent="0.25">
      <c r="B126" s="7">
        <v>120</v>
      </c>
      <c r="C126" s="22" t="s">
        <v>118</v>
      </c>
      <c r="D126" s="15">
        <v>24625</v>
      </c>
      <c r="E126" s="6" t="s">
        <v>33</v>
      </c>
      <c r="F126" s="51" t="s">
        <v>50</v>
      </c>
    </row>
    <row r="127" spans="2:6" s="1" customFormat="1" ht="19.5" customHeight="1" x14ac:dyDescent="0.25">
      <c r="B127" s="5">
        <v>121</v>
      </c>
      <c r="C127" s="19" t="s">
        <v>119</v>
      </c>
      <c r="D127" s="16">
        <v>21925</v>
      </c>
      <c r="E127" s="6" t="s">
        <v>33</v>
      </c>
      <c r="F127" s="51" t="s">
        <v>50</v>
      </c>
    </row>
    <row r="128" spans="2:6" s="1" customFormat="1" ht="19.5" customHeight="1" x14ac:dyDescent="0.25">
      <c r="B128" s="5">
        <v>122</v>
      </c>
      <c r="C128" s="20" t="s">
        <v>120</v>
      </c>
      <c r="D128" s="16">
        <v>23600</v>
      </c>
      <c r="E128" s="6" t="s">
        <v>33</v>
      </c>
      <c r="F128" s="51" t="s">
        <v>50</v>
      </c>
    </row>
    <row r="129" spans="2:6" s="1" customFormat="1" ht="19.5" customHeight="1" x14ac:dyDescent="0.25">
      <c r="B129" s="5">
        <v>123</v>
      </c>
      <c r="C129" s="20" t="s">
        <v>121</v>
      </c>
      <c r="D129" s="16">
        <v>23600</v>
      </c>
      <c r="E129" s="6" t="s">
        <v>33</v>
      </c>
      <c r="F129" s="51" t="s">
        <v>50</v>
      </c>
    </row>
    <row r="130" spans="2:6" s="1" customFormat="1" ht="19.5" customHeight="1" x14ac:dyDescent="0.25">
      <c r="B130" s="5">
        <v>124</v>
      </c>
      <c r="C130" s="20" t="s">
        <v>122</v>
      </c>
      <c r="D130" s="16">
        <v>24900</v>
      </c>
      <c r="E130" s="6" t="s">
        <v>33</v>
      </c>
      <c r="F130" s="51" t="s">
        <v>50</v>
      </c>
    </row>
    <row r="131" spans="2:6" s="1" customFormat="1" ht="19.5" customHeight="1" x14ac:dyDescent="0.25">
      <c r="B131" s="5">
        <v>125</v>
      </c>
      <c r="C131" s="21" t="s">
        <v>123</v>
      </c>
      <c r="D131" s="16">
        <v>26125</v>
      </c>
      <c r="E131" s="6" t="s">
        <v>33</v>
      </c>
      <c r="F131" s="51" t="s">
        <v>50</v>
      </c>
    </row>
    <row r="132" spans="2:6" s="1" customFormat="1" ht="19.5" customHeight="1" x14ac:dyDescent="0.25">
      <c r="B132" s="5">
        <v>126</v>
      </c>
      <c r="C132" s="20" t="s">
        <v>124</v>
      </c>
      <c r="D132" s="16">
        <v>23600</v>
      </c>
      <c r="E132" s="6" t="s">
        <v>33</v>
      </c>
      <c r="F132" s="51" t="s">
        <v>50</v>
      </c>
    </row>
    <row r="133" spans="2:6" s="1" customFormat="1" ht="19.5" customHeight="1" x14ac:dyDescent="0.25">
      <c r="B133" s="5">
        <v>127</v>
      </c>
      <c r="C133" s="19" t="s">
        <v>125</v>
      </c>
      <c r="D133" s="16">
        <v>21425</v>
      </c>
      <c r="E133" s="6" t="s">
        <v>33</v>
      </c>
      <c r="F133" s="51" t="s">
        <v>50</v>
      </c>
    </row>
    <row r="134" spans="2:6" s="1" customFormat="1" ht="19.5" customHeight="1" x14ac:dyDescent="0.25">
      <c r="B134" s="5">
        <v>128</v>
      </c>
      <c r="C134" s="19" t="s">
        <v>126</v>
      </c>
      <c r="D134" s="16">
        <v>21425</v>
      </c>
      <c r="E134" s="6" t="s">
        <v>33</v>
      </c>
      <c r="F134" s="51" t="s">
        <v>50</v>
      </c>
    </row>
    <row r="135" spans="2:6" s="1" customFormat="1" ht="19.5" customHeight="1" x14ac:dyDescent="0.25">
      <c r="B135" s="5">
        <v>129</v>
      </c>
      <c r="C135" s="19" t="s">
        <v>127</v>
      </c>
      <c r="D135" s="16">
        <v>21425</v>
      </c>
      <c r="E135" s="6" t="s">
        <v>33</v>
      </c>
      <c r="F135" s="51" t="s">
        <v>50</v>
      </c>
    </row>
    <row r="136" spans="2:6" s="1" customFormat="1" ht="19.5" customHeight="1" x14ac:dyDescent="0.25">
      <c r="B136" s="5">
        <v>130</v>
      </c>
      <c r="C136" s="19" t="s">
        <v>128</v>
      </c>
      <c r="D136" s="16">
        <v>21425</v>
      </c>
      <c r="E136" s="6" t="s">
        <v>33</v>
      </c>
      <c r="F136" s="51" t="s">
        <v>50</v>
      </c>
    </row>
    <row r="137" spans="2:6" s="1" customFormat="1" ht="19.5" customHeight="1" x14ac:dyDescent="0.25">
      <c r="B137" s="5">
        <v>131</v>
      </c>
      <c r="C137" s="19" t="s">
        <v>129</v>
      </c>
      <c r="D137" s="16">
        <v>21425</v>
      </c>
      <c r="E137" s="6" t="s">
        <v>33</v>
      </c>
      <c r="F137" s="51" t="s">
        <v>50</v>
      </c>
    </row>
    <row r="138" spans="2:6" s="1" customFormat="1" ht="19.5" customHeight="1" x14ac:dyDescent="0.25">
      <c r="B138" s="5">
        <v>132</v>
      </c>
      <c r="C138" s="19" t="s">
        <v>130</v>
      </c>
      <c r="D138" s="16">
        <v>21425</v>
      </c>
      <c r="E138" s="6" t="s">
        <v>33</v>
      </c>
      <c r="F138" s="51" t="s">
        <v>50</v>
      </c>
    </row>
    <row r="139" spans="2:6" s="1" customFormat="1" ht="19.5" customHeight="1" x14ac:dyDescent="0.25">
      <c r="B139" s="5">
        <v>133</v>
      </c>
      <c r="C139" s="19" t="s">
        <v>131</v>
      </c>
      <c r="D139" s="16">
        <v>21425</v>
      </c>
      <c r="E139" s="6" t="s">
        <v>33</v>
      </c>
      <c r="F139" s="51" t="s">
        <v>50</v>
      </c>
    </row>
    <row r="140" spans="2:6" s="1" customFormat="1" ht="19.5" customHeight="1" x14ac:dyDescent="0.25">
      <c r="B140" s="5">
        <v>134</v>
      </c>
      <c r="C140" s="19" t="s">
        <v>132</v>
      </c>
      <c r="D140" s="16">
        <v>21425</v>
      </c>
      <c r="E140" s="6" t="s">
        <v>33</v>
      </c>
      <c r="F140" s="51" t="s">
        <v>50</v>
      </c>
    </row>
    <row r="141" spans="2:6" s="1" customFormat="1" ht="19.5" customHeight="1" x14ac:dyDescent="0.25">
      <c r="B141" s="5">
        <v>135</v>
      </c>
      <c r="C141" s="19" t="s">
        <v>133</v>
      </c>
      <c r="D141" s="16">
        <v>22155</v>
      </c>
      <c r="E141" s="6" t="s">
        <v>33</v>
      </c>
      <c r="F141" s="51" t="s">
        <v>50</v>
      </c>
    </row>
    <row r="142" spans="2:6" s="1" customFormat="1" ht="19.5" customHeight="1" x14ac:dyDescent="0.25">
      <c r="B142" s="5">
        <v>136</v>
      </c>
      <c r="C142" s="19" t="s">
        <v>134</v>
      </c>
      <c r="D142" s="16">
        <v>21425</v>
      </c>
      <c r="E142" s="6" t="s">
        <v>33</v>
      </c>
      <c r="F142" s="51" t="s">
        <v>50</v>
      </c>
    </row>
    <row r="143" spans="2:6" s="1" customFormat="1" ht="19.5" customHeight="1" x14ac:dyDescent="0.25">
      <c r="B143" s="5">
        <v>137</v>
      </c>
      <c r="C143" s="19" t="s">
        <v>135</v>
      </c>
      <c r="D143" s="16">
        <v>23525</v>
      </c>
      <c r="E143" s="6" t="s">
        <v>33</v>
      </c>
      <c r="F143" s="51" t="s">
        <v>50</v>
      </c>
    </row>
    <row r="144" spans="2:6" s="1" customFormat="1" ht="19.5" customHeight="1" x14ac:dyDescent="0.25">
      <c r="B144" s="5">
        <v>138</v>
      </c>
      <c r="C144" s="20" t="s">
        <v>136</v>
      </c>
      <c r="D144" s="16">
        <v>23600</v>
      </c>
      <c r="E144" s="6" t="s">
        <v>33</v>
      </c>
      <c r="F144" s="51" t="s">
        <v>50</v>
      </c>
    </row>
    <row r="145" spans="2:6" s="1" customFormat="1" ht="19.5" customHeight="1" x14ac:dyDescent="0.25">
      <c r="B145" s="5">
        <v>139</v>
      </c>
      <c r="C145" s="21" t="s">
        <v>137</v>
      </c>
      <c r="D145" s="16">
        <v>24040</v>
      </c>
      <c r="E145" s="6" t="s">
        <v>33</v>
      </c>
      <c r="F145" s="51" t="s">
        <v>50</v>
      </c>
    </row>
    <row r="146" spans="2:6" s="1" customFormat="1" ht="19.5" customHeight="1" x14ac:dyDescent="0.25">
      <c r="B146" s="5">
        <v>140</v>
      </c>
      <c r="C146" s="20" t="s">
        <v>138</v>
      </c>
      <c r="D146" s="16">
        <v>22860</v>
      </c>
      <c r="E146" s="6" t="s">
        <v>33</v>
      </c>
      <c r="F146" s="51" t="s">
        <v>50</v>
      </c>
    </row>
    <row r="147" spans="2:6" s="1" customFormat="1" ht="19.5" customHeight="1" x14ac:dyDescent="0.25">
      <c r="B147" s="7">
        <v>141</v>
      </c>
      <c r="C147" s="20" t="s">
        <v>139</v>
      </c>
      <c r="D147" s="15">
        <v>23160</v>
      </c>
      <c r="E147" s="6" t="s">
        <v>33</v>
      </c>
      <c r="F147" s="51" t="s">
        <v>50</v>
      </c>
    </row>
    <row r="148" spans="2:6" s="1" customFormat="1" ht="19.5" customHeight="1" x14ac:dyDescent="0.25">
      <c r="B148" s="5">
        <v>142</v>
      </c>
      <c r="C148" s="21" t="s">
        <v>140</v>
      </c>
      <c r="D148" s="16">
        <v>23925</v>
      </c>
      <c r="E148" s="6" t="s">
        <v>33</v>
      </c>
      <c r="F148" s="51" t="s">
        <v>50</v>
      </c>
    </row>
    <row r="149" spans="2:6" s="1" customFormat="1" ht="19.5" customHeight="1" x14ac:dyDescent="0.25">
      <c r="B149" s="5">
        <v>143</v>
      </c>
      <c r="C149" s="20" t="s">
        <v>141</v>
      </c>
      <c r="D149" s="16">
        <v>24560</v>
      </c>
      <c r="E149" s="6" t="s">
        <v>33</v>
      </c>
      <c r="F149" s="51" t="s">
        <v>50</v>
      </c>
    </row>
    <row r="150" spans="2:6" s="1" customFormat="1" ht="19.5" customHeight="1" x14ac:dyDescent="0.25">
      <c r="B150" s="5">
        <v>144</v>
      </c>
      <c r="C150" s="20" t="s">
        <v>142</v>
      </c>
      <c r="D150" s="16">
        <v>24560</v>
      </c>
      <c r="E150" s="6" t="s">
        <v>33</v>
      </c>
      <c r="F150" s="51" t="s">
        <v>50</v>
      </c>
    </row>
    <row r="151" spans="2:6" s="1" customFormat="1" ht="19.5" customHeight="1" x14ac:dyDescent="0.25">
      <c r="B151" s="5">
        <v>145</v>
      </c>
      <c r="C151" s="20" t="s">
        <v>143</v>
      </c>
      <c r="D151" s="16">
        <v>23260</v>
      </c>
      <c r="E151" s="6" t="s">
        <v>33</v>
      </c>
      <c r="F151" s="51" t="s">
        <v>50</v>
      </c>
    </row>
    <row r="152" spans="2:6" s="1" customFormat="1" ht="19.5" customHeight="1" x14ac:dyDescent="0.25">
      <c r="B152" s="5">
        <v>146</v>
      </c>
      <c r="C152" s="20" t="s">
        <v>144</v>
      </c>
      <c r="D152" s="16">
        <v>23460</v>
      </c>
      <c r="E152" s="6" t="s">
        <v>33</v>
      </c>
      <c r="F152" s="51" t="s">
        <v>50</v>
      </c>
    </row>
    <row r="153" spans="2:6" s="1" customFormat="1" ht="19.5" customHeight="1" x14ac:dyDescent="0.25">
      <c r="B153" s="5">
        <v>147</v>
      </c>
      <c r="C153" s="20" t="s">
        <v>145</v>
      </c>
      <c r="D153" s="16">
        <v>22840</v>
      </c>
      <c r="E153" s="6" t="s">
        <v>33</v>
      </c>
      <c r="F153" s="51" t="s">
        <v>50</v>
      </c>
    </row>
    <row r="154" spans="2:6" s="1" customFormat="1" ht="19.5" customHeight="1" thickBot="1" x14ac:dyDescent="0.3">
      <c r="B154" s="11">
        <v>148</v>
      </c>
      <c r="C154" s="23" t="s">
        <v>146</v>
      </c>
      <c r="D154" s="17">
        <v>22840</v>
      </c>
      <c r="E154" s="10" t="s">
        <v>33</v>
      </c>
      <c r="F154" s="53" t="s">
        <v>50</v>
      </c>
    </row>
    <row r="155" spans="2:6" s="1" customFormat="1" ht="19.5" customHeight="1" x14ac:dyDescent="0.25">
      <c r="B155" s="7">
        <v>149</v>
      </c>
      <c r="C155" s="8" t="s">
        <v>155</v>
      </c>
      <c r="D155" s="15">
        <v>24900</v>
      </c>
      <c r="E155" s="8" t="s">
        <v>33</v>
      </c>
      <c r="F155" s="52" t="s">
        <v>281</v>
      </c>
    </row>
    <row r="156" spans="2:6" s="1" customFormat="1" ht="19.5" customHeight="1" x14ac:dyDescent="0.25">
      <c r="B156" s="5">
        <v>150</v>
      </c>
      <c r="C156" s="6" t="s">
        <v>156</v>
      </c>
      <c r="D156" s="16">
        <v>24400</v>
      </c>
      <c r="E156" s="6" t="s">
        <v>33</v>
      </c>
      <c r="F156" s="52" t="s">
        <v>281</v>
      </c>
    </row>
    <row r="157" spans="2:6" s="1" customFormat="1" ht="19.5" customHeight="1" x14ac:dyDescent="0.25">
      <c r="B157" s="5">
        <v>151</v>
      </c>
      <c r="C157" s="6" t="s">
        <v>157</v>
      </c>
      <c r="D157" s="16">
        <v>25400</v>
      </c>
      <c r="E157" s="6" t="s">
        <v>33</v>
      </c>
      <c r="F157" s="52" t="s">
        <v>281</v>
      </c>
    </row>
    <row r="158" spans="2:6" s="1" customFormat="1" ht="19.5" customHeight="1" x14ac:dyDescent="0.25">
      <c r="B158" s="5">
        <v>152</v>
      </c>
      <c r="C158" s="6" t="s">
        <v>158</v>
      </c>
      <c r="D158" s="16">
        <v>31300</v>
      </c>
      <c r="E158" s="6" t="s">
        <v>33</v>
      </c>
      <c r="F158" s="52" t="s">
        <v>281</v>
      </c>
    </row>
    <row r="159" spans="2:6" s="1" customFormat="1" ht="19.5" customHeight="1" x14ac:dyDescent="0.25">
      <c r="B159" s="5">
        <v>153</v>
      </c>
      <c r="C159" s="6" t="s">
        <v>159</v>
      </c>
      <c r="D159" s="16">
        <v>26300</v>
      </c>
      <c r="E159" s="6" t="s">
        <v>33</v>
      </c>
      <c r="F159" s="52" t="s">
        <v>281</v>
      </c>
    </row>
    <row r="160" spans="2:6" s="1" customFormat="1" ht="19.5" customHeight="1" x14ac:dyDescent="0.25">
      <c r="B160" s="5">
        <v>154</v>
      </c>
      <c r="C160" s="6" t="s">
        <v>160</v>
      </c>
      <c r="D160" s="16">
        <v>29000</v>
      </c>
      <c r="E160" s="6" t="s">
        <v>33</v>
      </c>
      <c r="F160" s="52" t="s">
        <v>281</v>
      </c>
    </row>
    <row r="161" spans="2:6" s="1" customFormat="1" ht="19.5" customHeight="1" x14ac:dyDescent="0.25">
      <c r="B161" s="5">
        <v>155</v>
      </c>
      <c r="C161" s="6" t="s">
        <v>161</v>
      </c>
      <c r="D161" s="16">
        <v>25000</v>
      </c>
      <c r="E161" s="6" t="s">
        <v>33</v>
      </c>
      <c r="F161" s="52" t="s">
        <v>281</v>
      </c>
    </row>
    <row r="162" spans="2:6" s="1" customFormat="1" ht="19.5" customHeight="1" x14ac:dyDescent="0.25">
      <c r="B162" s="5">
        <v>156</v>
      </c>
      <c r="C162" s="6" t="s">
        <v>162</v>
      </c>
      <c r="D162" s="16">
        <v>29200</v>
      </c>
      <c r="E162" s="6" t="s">
        <v>33</v>
      </c>
      <c r="F162" s="52" t="s">
        <v>281</v>
      </c>
    </row>
    <row r="163" spans="2:6" s="1" customFormat="1" ht="19.5" customHeight="1" x14ac:dyDescent="0.25">
      <c r="B163" s="5">
        <v>157</v>
      </c>
      <c r="C163" s="6" t="s">
        <v>163</v>
      </c>
      <c r="D163" s="16">
        <v>28700</v>
      </c>
      <c r="E163" s="6" t="s">
        <v>33</v>
      </c>
      <c r="F163" s="52" t="s">
        <v>281</v>
      </c>
    </row>
    <row r="164" spans="2:6" s="1" customFormat="1" ht="19.5" customHeight="1" x14ac:dyDescent="0.25">
      <c r="B164" s="5">
        <v>158</v>
      </c>
      <c r="C164" s="6" t="s">
        <v>164</v>
      </c>
      <c r="D164" s="16">
        <v>25500</v>
      </c>
      <c r="E164" s="6" t="s">
        <v>33</v>
      </c>
      <c r="F164" s="52" t="s">
        <v>281</v>
      </c>
    </row>
    <row r="165" spans="2:6" s="1" customFormat="1" ht="19.5" customHeight="1" x14ac:dyDescent="0.25">
      <c r="B165" s="5">
        <v>159</v>
      </c>
      <c r="C165" s="6" t="s">
        <v>165</v>
      </c>
      <c r="D165" s="16">
        <v>31000</v>
      </c>
      <c r="E165" s="6" t="s">
        <v>33</v>
      </c>
      <c r="F165" s="52" t="s">
        <v>281</v>
      </c>
    </row>
    <row r="166" spans="2:6" s="1" customFormat="1" ht="19.5" customHeight="1" x14ac:dyDescent="0.25">
      <c r="B166" s="5">
        <v>160</v>
      </c>
      <c r="C166" s="6" t="s">
        <v>166</v>
      </c>
      <c r="D166" s="16">
        <v>30800</v>
      </c>
      <c r="E166" s="6" t="s">
        <v>33</v>
      </c>
      <c r="F166" s="52" t="s">
        <v>281</v>
      </c>
    </row>
    <row r="167" spans="2:6" s="1" customFormat="1" ht="19.5" customHeight="1" x14ac:dyDescent="0.25">
      <c r="B167" s="5">
        <v>161</v>
      </c>
      <c r="C167" s="6" t="s">
        <v>167</v>
      </c>
      <c r="D167" s="16">
        <v>25000</v>
      </c>
      <c r="E167" s="6" t="s">
        <v>33</v>
      </c>
      <c r="F167" s="52" t="s">
        <v>281</v>
      </c>
    </row>
    <row r="168" spans="2:6" s="1" customFormat="1" ht="19.5" customHeight="1" x14ac:dyDescent="0.25">
      <c r="B168" s="5">
        <v>162</v>
      </c>
      <c r="C168" s="6" t="s">
        <v>168</v>
      </c>
      <c r="D168" s="16">
        <v>25200</v>
      </c>
      <c r="E168" s="6" t="s">
        <v>33</v>
      </c>
      <c r="F168" s="52" t="s">
        <v>281</v>
      </c>
    </row>
    <row r="169" spans="2:6" s="1" customFormat="1" ht="19.5" customHeight="1" x14ac:dyDescent="0.25">
      <c r="B169" s="5">
        <v>163</v>
      </c>
      <c r="C169" s="6" t="s">
        <v>169</v>
      </c>
      <c r="D169" s="16">
        <v>24500</v>
      </c>
      <c r="E169" s="6" t="s">
        <v>33</v>
      </c>
      <c r="F169" s="52" t="s">
        <v>281</v>
      </c>
    </row>
    <row r="170" spans="2:6" s="1" customFormat="1" ht="19.5" customHeight="1" x14ac:dyDescent="0.25">
      <c r="B170" s="5">
        <v>164</v>
      </c>
      <c r="C170" s="6" t="s">
        <v>170</v>
      </c>
      <c r="D170" s="16">
        <v>27200</v>
      </c>
      <c r="E170" s="6" t="s">
        <v>33</v>
      </c>
      <c r="F170" s="52" t="s">
        <v>281</v>
      </c>
    </row>
    <row r="171" spans="2:6" s="1" customFormat="1" ht="19.5" customHeight="1" x14ac:dyDescent="0.25">
      <c r="B171" s="5">
        <v>165</v>
      </c>
      <c r="C171" s="6" t="s">
        <v>171</v>
      </c>
      <c r="D171" s="16">
        <v>30400</v>
      </c>
      <c r="E171" s="6" t="s">
        <v>33</v>
      </c>
      <c r="F171" s="52" t="s">
        <v>281</v>
      </c>
    </row>
    <row r="172" spans="2:6" s="1" customFormat="1" ht="19.5" customHeight="1" x14ac:dyDescent="0.25">
      <c r="B172" s="5">
        <v>166</v>
      </c>
      <c r="C172" s="6" t="s">
        <v>172</v>
      </c>
      <c r="D172" s="16">
        <v>25000</v>
      </c>
      <c r="E172" s="6" t="s">
        <v>33</v>
      </c>
      <c r="F172" s="52" t="s">
        <v>281</v>
      </c>
    </row>
    <row r="173" spans="2:6" s="1" customFormat="1" ht="19.5" customHeight="1" x14ac:dyDescent="0.25">
      <c r="B173" s="5">
        <v>167</v>
      </c>
      <c r="C173" s="6" t="s">
        <v>173</v>
      </c>
      <c r="D173" s="16">
        <v>25200</v>
      </c>
      <c r="E173" s="6" t="s">
        <v>33</v>
      </c>
      <c r="F173" s="52" t="s">
        <v>281</v>
      </c>
    </row>
    <row r="174" spans="2:6" s="1" customFormat="1" ht="19.5" customHeight="1" x14ac:dyDescent="0.25">
      <c r="B174" s="5">
        <v>168</v>
      </c>
      <c r="C174" s="6" t="s">
        <v>174</v>
      </c>
      <c r="D174" s="16">
        <v>24200</v>
      </c>
      <c r="E174" s="6" t="s">
        <v>33</v>
      </c>
      <c r="F174" s="52" t="s">
        <v>281</v>
      </c>
    </row>
    <row r="175" spans="2:6" s="1" customFormat="1" ht="19.5" customHeight="1" x14ac:dyDescent="0.25">
      <c r="B175" s="5">
        <v>169</v>
      </c>
      <c r="C175" s="6" t="s">
        <v>175</v>
      </c>
      <c r="D175" s="16">
        <v>26200</v>
      </c>
      <c r="E175" s="6" t="s">
        <v>33</v>
      </c>
      <c r="F175" s="52" t="s">
        <v>281</v>
      </c>
    </row>
    <row r="176" spans="2:6" s="1" customFormat="1" ht="19.5" customHeight="1" x14ac:dyDescent="0.25">
      <c r="B176" s="5">
        <v>170</v>
      </c>
      <c r="C176" s="6" t="s">
        <v>176</v>
      </c>
      <c r="D176" s="16">
        <v>26500</v>
      </c>
      <c r="E176" s="6" t="s">
        <v>33</v>
      </c>
      <c r="F176" s="52" t="s">
        <v>281</v>
      </c>
    </row>
    <row r="177" spans="2:6" s="1" customFormat="1" ht="19.5" customHeight="1" x14ac:dyDescent="0.25">
      <c r="B177" s="5">
        <v>171</v>
      </c>
      <c r="C177" s="6" t="s">
        <v>177</v>
      </c>
      <c r="D177" s="16">
        <v>28200</v>
      </c>
      <c r="E177" s="6" t="s">
        <v>33</v>
      </c>
      <c r="F177" s="52" t="s">
        <v>281</v>
      </c>
    </row>
    <row r="178" spans="2:6" s="1" customFormat="1" ht="19.5" customHeight="1" x14ac:dyDescent="0.25">
      <c r="B178" s="5">
        <v>172</v>
      </c>
      <c r="C178" s="6" t="s">
        <v>178</v>
      </c>
      <c r="D178" s="16">
        <v>25000</v>
      </c>
      <c r="E178" s="6" t="s">
        <v>33</v>
      </c>
      <c r="F178" s="52" t="s">
        <v>281</v>
      </c>
    </row>
    <row r="179" spans="2:6" s="1" customFormat="1" ht="19.5" customHeight="1" x14ac:dyDescent="0.25">
      <c r="B179" s="5">
        <v>173</v>
      </c>
      <c r="C179" s="6" t="s">
        <v>179</v>
      </c>
      <c r="D179" s="16">
        <v>28200</v>
      </c>
      <c r="E179" s="6" t="s">
        <v>33</v>
      </c>
      <c r="F179" s="52" t="s">
        <v>281</v>
      </c>
    </row>
    <row r="180" spans="2:6" s="1" customFormat="1" ht="19.5" customHeight="1" thickBot="1" x14ac:dyDescent="0.3">
      <c r="B180" s="9">
        <v>174</v>
      </c>
      <c r="C180" s="10"/>
      <c r="D180" s="17"/>
      <c r="E180" s="10" t="s">
        <v>33</v>
      </c>
      <c r="F180" s="53"/>
    </row>
    <row r="181" spans="2:6" s="1" customFormat="1" ht="19.5" customHeight="1" x14ac:dyDescent="0.25">
      <c r="B181" s="7">
        <v>175</v>
      </c>
      <c r="C181" s="8" t="s">
        <v>274</v>
      </c>
      <c r="D181" s="15">
        <v>24100</v>
      </c>
      <c r="E181" s="8" t="s">
        <v>33</v>
      </c>
      <c r="F181" s="52" t="s">
        <v>279</v>
      </c>
    </row>
    <row r="182" spans="2:6" s="1" customFormat="1" ht="19.5" customHeight="1" x14ac:dyDescent="0.25">
      <c r="B182" s="5">
        <v>176</v>
      </c>
      <c r="C182" s="6" t="s">
        <v>275</v>
      </c>
      <c r="D182" s="16">
        <v>24200</v>
      </c>
      <c r="E182" s="6" t="s">
        <v>33</v>
      </c>
      <c r="F182" s="51" t="s">
        <v>279</v>
      </c>
    </row>
    <row r="183" spans="2:6" s="1" customFormat="1" ht="19.5" customHeight="1" x14ac:dyDescent="0.25">
      <c r="B183" s="5">
        <v>177</v>
      </c>
      <c r="C183" s="6" t="s">
        <v>276</v>
      </c>
      <c r="D183" s="16">
        <v>22700</v>
      </c>
      <c r="E183" s="6" t="s">
        <v>33</v>
      </c>
      <c r="F183" s="51" t="s">
        <v>279</v>
      </c>
    </row>
    <row r="184" spans="2:6" s="1" customFormat="1" ht="19.5" customHeight="1" x14ac:dyDescent="0.25">
      <c r="B184" s="5">
        <v>178</v>
      </c>
      <c r="C184" s="6" t="s">
        <v>277</v>
      </c>
      <c r="D184" s="16">
        <v>22300</v>
      </c>
      <c r="E184" s="6" t="s">
        <v>33</v>
      </c>
      <c r="F184" s="51" t="s">
        <v>279</v>
      </c>
    </row>
    <row r="185" spans="2:6" s="1" customFormat="1" ht="19.5" customHeight="1" thickBot="1" x14ac:dyDescent="0.3">
      <c r="B185" s="9">
        <v>179</v>
      </c>
      <c r="C185" s="10" t="s">
        <v>278</v>
      </c>
      <c r="D185" s="17">
        <v>24400</v>
      </c>
      <c r="E185" s="10" t="s">
        <v>33</v>
      </c>
      <c r="F185" s="53" t="s">
        <v>279</v>
      </c>
    </row>
    <row r="186" spans="2:6" s="1" customFormat="1" ht="19.5" customHeight="1" x14ac:dyDescent="0.25">
      <c r="B186" s="7">
        <v>180</v>
      </c>
      <c r="C186" s="8" t="s">
        <v>149</v>
      </c>
      <c r="D186" s="15">
        <v>25000</v>
      </c>
      <c r="E186" s="8" t="s">
        <v>33</v>
      </c>
      <c r="F186" s="52" t="s">
        <v>147</v>
      </c>
    </row>
    <row r="187" spans="2:6" s="1" customFormat="1" ht="19.5" customHeight="1" x14ac:dyDescent="0.25">
      <c r="B187" s="5">
        <v>181</v>
      </c>
      <c r="C187" s="6" t="s">
        <v>150</v>
      </c>
      <c r="D187" s="16">
        <v>25100</v>
      </c>
      <c r="E187" s="6" t="s">
        <v>33</v>
      </c>
      <c r="F187" s="51" t="s">
        <v>147</v>
      </c>
    </row>
    <row r="188" spans="2:6" s="1" customFormat="1" ht="19.5" customHeight="1" x14ac:dyDescent="0.25">
      <c r="B188" s="5">
        <v>182</v>
      </c>
      <c r="C188" s="6" t="s">
        <v>151</v>
      </c>
      <c r="D188" s="16">
        <v>25000</v>
      </c>
      <c r="E188" s="6" t="s">
        <v>33</v>
      </c>
      <c r="F188" s="51" t="s">
        <v>147</v>
      </c>
    </row>
    <row r="189" spans="2:6" s="1" customFormat="1" ht="19.5" customHeight="1" x14ac:dyDescent="0.25">
      <c r="B189" s="5">
        <v>183</v>
      </c>
      <c r="C189" s="6" t="s">
        <v>152</v>
      </c>
      <c r="D189" s="16">
        <v>24700</v>
      </c>
      <c r="E189" s="6" t="s">
        <v>33</v>
      </c>
      <c r="F189" s="51" t="s">
        <v>147</v>
      </c>
    </row>
    <row r="190" spans="2:6" s="1" customFormat="1" ht="19.5" customHeight="1" thickBot="1" x14ac:dyDescent="0.3">
      <c r="B190" s="9">
        <v>184</v>
      </c>
      <c r="C190" s="10" t="s">
        <v>148</v>
      </c>
      <c r="D190" s="17">
        <v>24500</v>
      </c>
      <c r="E190" s="10" t="s">
        <v>33</v>
      </c>
      <c r="F190" s="53" t="s">
        <v>147</v>
      </c>
    </row>
    <row r="191" spans="2:6" s="1" customFormat="1" ht="19.5" customHeight="1" x14ac:dyDescent="0.25">
      <c r="B191" s="7">
        <v>185</v>
      </c>
      <c r="C191" s="8" t="s">
        <v>154</v>
      </c>
      <c r="D191" s="15">
        <v>29000</v>
      </c>
      <c r="E191" s="8" t="s">
        <v>33</v>
      </c>
      <c r="F191" s="52" t="s">
        <v>153</v>
      </c>
    </row>
    <row r="192" spans="2:6" s="1" customFormat="1" ht="19.5" customHeight="1" x14ac:dyDescent="0.25">
      <c r="B192" s="5">
        <v>186</v>
      </c>
      <c r="C192" s="6"/>
      <c r="D192" s="16"/>
      <c r="E192" s="6" t="s">
        <v>33</v>
      </c>
      <c r="F192" s="51"/>
    </row>
    <row r="193" spans="2:6" s="1" customFormat="1" ht="19.5" customHeight="1" x14ac:dyDescent="0.25">
      <c r="B193" s="5">
        <v>187</v>
      </c>
      <c r="C193" s="6"/>
      <c r="D193" s="16"/>
      <c r="E193" s="6" t="s">
        <v>33</v>
      </c>
      <c r="F193" s="51"/>
    </row>
    <row r="194" spans="2:6" s="1" customFormat="1" ht="19.5" customHeight="1" x14ac:dyDescent="0.25">
      <c r="B194" s="5">
        <v>188</v>
      </c>
      <c r="C194" s="6"/>
      <c r="D194" s="16"/>
      <c r="E194" s="6" t="s">
        <v>33</v>
      </c>
      <c r="F194" s="51"/>
    </row>
    <row r="195" spans="2:6" s="1" customFormat="1" ht="19.5" customHeight="1" x14ac:dyDescent="0.25">
      <c r="B195" s="5">
        <v>189</v>
      </c>
      <c r="C195" s="6"/>
      <c r="D195" s="16"/>
      <c r="E195" s="6" t="s">
        <v>33</v>
      </c>
      <c r="F195" s="51"/>
    </row>
    <row r="196" spans="2:6" s="1" customFormat="1" ht="19.5" customHeight="1" x14ac:dyDescent="0.25">
      <c r="B196" s="5">
        <v>190</v>
      </c>
      <c r="C196" s="6"/>
      <c r="D196" s="16"/>
      <c r="E196" s="6" t="s">
        <v>33</v>
      </c>
      <c r="F196" s="51"/>
    </row>
    <row r="197" spans="2:6" s="1" customFormat="1" ht="19.5" customHeight="1" x14ac:dyDescent="0.25">
      <c r="B197" s="5">
        <v>191</v>
      </c>
      <c r="C197" s="6"/>
      <c r="D197" s="16"/>
      <c r="E197" s="6" t="s">
        <v>33</v>
      </c>
      <c r="F197" s="51"/>
    </row>
    <row r="198" spans="2:6" s="1" customFormat="1" ht="19.5" customHeight="1" x14ac:dyDescent="0.25">
      <c r="B198" s="5">
        <v>192</v>
      </c>
      <c r="C198" s="6"/>
      <c r="D198" s="16"/>
      <c r="E198" s="6" t="s">
        <v>33</v>
      </c>
      <c r="F198" s="51"/>
    </row>
    <row r="199" spans="2:6" s="1" customFormat="1" ht="19.5" customHeight="1" x14ac:dyDescent="0.25">
      <c r="B199" s="5">
        <v>193</v>
      </c>
      <c r="C199" s="6"/>
      <c r="D199" s="16"/>
      <c r="E199" s="6" t="s">
        <v>33</v>
      </c>
      <c r="F199" s="51"/>
    </row>
    <row r="200" spans="2:6" s="1" customFormat="1" ht="19.5" customHeight="1" x14ac:dyDescent="0.25">
      <c r="B200" s="5">
        <v>194</v>
      </c>
      <c r="C200" s="6"/>
      <c r="D200" s="16"/>
      <c r="E200" s="6" t="s">
        <v>33</v>
      </c>
      <c r="F200" s="51"/>
    </row>
    <row r="201" spans="2:6" s="1" customFormat="1" ht="19.5" customHeight="1" x14ac:dyDescent="0.25">
      <c r="B201" s="5">
        <v>195</v>
      </c>
      <c r="C201" s="6"/>
      <c r="D201" s="16"/>
      <c r="E201" s="6" t="s">
        <v>33</v>
      </c>
      <c r="F201" s="51"/>
    </row>
    <row r="202" spans="2:6" s="1" customFormat="1" ht="19.5" customHeight="1" x14ac:dyDescent="0.25">
      <c r="B202" s="5">
        <v>196</v>
      </c>
      <c r="C202" s="6"/>
      <c r="D202" s="16"/>
      <c r="E202" s="6" t="s">
        <v>33</v>
      </c>
      <c r="F202" s="51"/>
    </row>
    <row r="203" spans="2:6" s="1" customFormat="1" ht="19.5" customHeight="1" x14ac:dyDescent="0.25">
      <c r="B203" s="5">
        <v>197</v>
      </c>
      <c r="C203" s="6"/>
      <c r="D203" s="16"/>
      <c r="E203" s="6" t="s">
        <v>33</v>
      </c>
      <c r="F203" s="51"/>
    </row>
    <row r="204" spans="2:6" s="1" customFormat="1" ht="19.5" customHeight="1" x14ac:dyDescent="0.25">
      <c r="B204" s="5">
        <v>198</v>
      </c>
      <c r="C204" s="6"/>
      <c r="D204" s="16"/>
      <c r="E204" s="6" t="s">
        <v>33</v>
      </c>
      <c r="F204" s="51"/>
    </row>
    <row r="205" spans="2:6" s="1" customFormat="1" ht="19.5" customHeight="1" x14ac:dyDescent="0.25">
      <c r="B205" s="5">
        <v>199</v>
      </c>
      <c r="C205" s="6"/>
      <c r="D205" s="16"/>
      <c r="E205" s="6" t="s">
        <v>33</v>
      </c>
      <c r="F205" s="51"/>
    </row>
    <row r="206" spans="2:6" s="1" customFormat="1" ht="19.5" customHeight="1" x14ac:dyDescent="0.25">
      <c r="B206" s="5">
        <v>200</v>
      </c>
      <c r="C206" s="6"/>
      <c r="D206" s="16"/>
      <c r="E206" s="6" t="s">
        <v>33</v>
      </c>
      <c r="F206" s="51"/>
    </row>
    <row r="207" spans="2:6" s="1" customFormat="1" ht="19.5" customHeight="1" x14ac:dyDescent="0.25">
      <c r="B207" s="5">
        <v>201</v>
      </c>
      <c r="C207" s="6"/>
      <c r="D207" s="16"/>
      <c r="E207" s="6" t="s">
        <v>33</v>
      </c>
      <c r="F207" s="51"/>
    </row>
    <row r="208" spans="2:6" s="1" customFormat="1" ht="19.5" customHeight="1" x14ac:dyDescent="0.25">
      <c r="B208" s="5">
        <v>202</v>
      </c>
      <c r="C208" s="6"/>
      <c r="D208" s="16"/>
      <c r="E208" s="6" t="s">
        <v>33</v>
      </c>
      <c r="F208" s="51"/>
    </row>
    <row r="209" spans="2:6" s="1" customFormat="1" ht="19.5" customHeight="1" x14ac:dyDescent="0.25">
      <c r="B209" s="5">
        <v>203</v>
      </c>
      <c r="C209" s="6"/>
      <c r="D209" s="16"/>
      <c r="E209" s="6" t="s">
        <v>33</v>
      </c>
      <c r="F209" s="51"/>
    </row>
    <row r="210" spans="2:6" s="1" customFormat="1" ht="19.5" customHeight="1" x14ac:dyDescent="0.25">
      <c r="B210" s="5">
        <v>204</v>
      </c>
      <c r="C210" s="6"/>
      <c r="D210" s="16"/>
      <c r="E210" s="6" t="s">
        <v>33</v>
      </c>
      <c r="F210" s="51"/>
    </row>
    <row r="211" spans="2:6" s="1" customFormat="1" ht="19.5" customHeight="1" x14ac:dyDescent="0.25">
      <c r="B211" s="5">
        <v>205</v>
      </c>
      <c r="C211" s="6"/>
      <c r="D211" s="16"/>
      <c r="E211" s="6" t="s">
        <v>33</v>
      </c>
      <c r="F211" s="51"/>
    </row>
    <row r="212" spans="2:6" s="1" customFormat="1" ht="19.5" customHeight="1" x14ac:dyDescent="0.25">
      <c r="B212" s="5">
        <v>206</v>
      </c>
      <c r="C212" s="6"/>
      <c r="D212" s="16"/>
      <c r="E212" s="6" t="s">
        <v>33</v>
      </c>
      <c r="F212" s="51"/>
    </row>
    <row r="213" spans="2:6" s="1" customFormat="1" ht="19.5" customHeight="1" x14ac:dyDescent="0.25">
      <c r="B213" s="5">
        <v>207</v>
      </c>
      <c r="C213" s="6"/>
      <c r="D213" s="16"/>
      <c r="E213" s="6" t="s">
        <v>33</v>
      </c>
      <c r="F213" s="51"/>
    </row>
    <row r="214" spans="2:6" s="1" customFormat="1" ht="19.5" customHeight="1" x14ac:dyDescent="0.25">
      <c r="B214" s="5">
        <v>208</v>
      </c>
      <c r="C214" s="6"/>
      <c r="D214" s="16"/>
      <c r="E214" s="6" t="s">
        <v>33</v>
      </c>
      <c r="F214" s="51"/>
    </row>
    <row r="215" spans="2:6" s="1" customFormat="1" ht="19.5" customHeight="1" x14ac:dyDescent="0.25">
      <c r="B215" s="5">
        <v>209</v>
      </c>
      <c r="C215" s="6"/>
      <c r="D215" s="16"/>
      <c r="E215" s="6" t="s">
        <v>33</v>
      </c>
      <c r="F215" s="51"/>
    </row>
    <row r="216" spans="2:6" s="1" customFormat="1" ht="19.5" customHeight="1" x14ac:dyDescent="0.25">
      <c r="B216" s="5">
        <v>210</v>
      </c>
      <c r="C216" s="6"/>
      <c r="D216" s="16"/>
      <c r="E216" s="6" t="s">
        <v>33</v>
      </c>
      <c r="F216" s="51"/>
    </row>
    <row r="217" spans="2:6" s="1" customFormat="1" ht="19.5" customHeight="1" x14ac:dyDescent="0.25">
      <c r="B217" s="5">
        <v>211</v>
      </c>
      <c r="C217" s="6"/>
      <c r="D217" s="16"/>
      <c r="E217" s="6" t="s">
        <v>33</v>
      </c>
      <c r="F217" s="51"/>
    </row>
    <row r="218" spans="2:6" s="1" customFormat="1" ht="19.5" customHeight="1" x14ac:dyDescent="0.25">
      <c r="B218" s="5">
        <v>212</v>
      </c>
      <c r="C218" s="6"/>
      <c r="D218" s="16"/>
      <c r="E218" s="6" t="s">
        <v>33</v>
      </c>
      <c r="F218" s="51"/>
    </row>
    <row r="219" spans="2:6" s="1" customFormat="1" ht="19.5" customHeight="1" x14ac:dyDescent="0.25">
      <c r="B219" s="5">
        <v>213</v>
      </c>
      <c r="C219" s="6"/>
      <c r="D219" s="16"/>
      <c r="E219" s="6" t="s">
        <v>33</v>
      </c>
      <c r="F219" s="51"/>
    </row>
    <row r="220" spans="2:6" s="1" customFormat="1" ht="19.5" customHeight="1" thickBot="1" x14ac:dyDescent="0.3">
      <c r="B220" s="9">
        <v>214</v>
      </c>
      <c r="C220" s="10"/>
      <c r="D220" s="17"/>
      <c r="E220" s="10" t="s">
        <v>33</v>
      </c>
      <c r="F220" s="53"/>
    </row>
    <row r="221" spans="2:6" s="1" customFormat="1" ht="19.5" customHeight="1" x14ac:dyDescent="0.25">
      <c r="B221" s="7">
        <v>215</v>
      </c>
      <c r="C221" s="8" t="s">
        <v>257</v>
      </c>
      <c r="D221" s="15">
        <v>26100</v>
      </c>
      <c r="E221" s="8" t="s">
        <v>33</v>
      </c>
      <c r="F221" s="52" t="s">
        <v>258</v>
      </c>
    </row>
    <row r="222" spans="2:6" s="1" customFormat="1" ht="19.5" customHeight="1" x14ac:dyDescent="0.25">
      <c r="B222" s="5">
        <v>216</v>
      </c>
      <c r="C222" s="6"/>
      <c r="D222" s="16"/>
      <c r="E222" s="6" t="s">
        <v>33</v>
      </c>
      <c r="F222" s="51"/>
    </row>
    <row r="223" spans="2:6" s="1" customFormat="1" ht="19.5" customHeight="1" x14ac:dyDescent="0.25">
      <c r="B223" s="5">
        <v>217</v>
      </c>
      <c r="C223" s="6"/>
      <c r="D223" s="16"/>
      <c r="E223" s="6" t="s">
        <v>33</v>
      </c>
      <c r="F223" s="51"/>
    </row>
    <row r="224" spans="2:6" s="1" customFormat="1" ht="19.5" customHeight="1" x14ac:dyDescent="0.25">
      <c r="B224" s="5">
        <v>218</v>
      </c>
      <c r="C224" s="6"/>
      <c r="D224" s="16"/>
      <c r="E224" s="6" t="s">
        <v>33</v>
      </c>
      <c r="F224" s="51"/>
    </row>
    <row r="225" spans="2:6" s="1" customFormat="1" ht="19.5" customHeight="1" x14ac:dyDescent="0.25">
      <c r="B225" s="5">
        <v>219</v>
      </c>
      <c r="C225" s="6"/>
      <c r="D225" s="16"/>
      <c r="E225" s="6" t="s">
        <v>33</v>
      </c>
      <c r="F225" s="51"/>
    </row>
    <row r="226" spans="2:6" s="1" customFormat="1" ht="19.5" customHeight="1" x14ac:dyDescent="0.25">
      <c r="B226" s="5">
        <v>220</v>
      </c>
      <c r="C226" s="6"/>
      <c r="D226" s="16"/>
      <c r="E226" s="6" t="s">
        <v>33</v>
      </c>
      <c r="F226" s="51"/>
    </row>
    <row r="227" spans="2:6" s="1" customFormat="1" ht="19.5" customHeight="1" x14ac:dyDescent="0.25">
      <c r="B227" s="5">
        <v>221</v>
      </c>
      <c r="C227" s="6"/>
      <c r="D227" s="16"/>
      <c r="E227" s="6" t="s">
        <v>33</v>
      </c>
      <c r="F227" s="51"/>
    </row>
    <row r="228" spans="2:6" s="1" customFormat="1" ht="19.5" customHeight="1" x14ac:dyDescent="0.25">
      <c r="B228" s="5">
        <v>222</v>
      </c>
      <c r="C228" s="6"/>
      <c r="D228" s="16"/>
      <c r="E228" s="6" t="s">
        <v>33</v>
      </c>
      <c r="F228" s="51"/>
    </row>
    <row r="229" spans="2:6" s="1" customFormat="1" ht="19.5" customHeight="1" x14ac:dyDescent="0.25">
      <c r="B229" s="5">
        <v>223</v>
      </c>
      <c r="C229" s="6"/>
      <c r="D229" s="16"/>
      <c r="E229" s="6" t="s">
        <v>33</v>
      </c>
      <c r="F229" s="51"/>
    </row>
    <row r="230" spans="2:6" s="1" customFormat="1" ht="19.5" customHeight="1" x14ac:dyDescent="0.25">
      <c r="B230" s="5">
        <v>224</v>
      </c>
      <c r="C230" s="6"/>
      <c r="D230" s="16"/>
      <c r="E230" s="6" t="s">
        <v>33</v>
      </c>
      <c r="F230" s="51"/>
    </row>
    <row r="231" spans="2:6" s="1" customFormat="1" ht="19.5" customHeight="1" x14ac:dyDescent="0.25">
      <c r="B231" s="5">
        <v>225</v>
      </c>
      <c r="C231" s="6"/>
      <c r="D231" s="16"/>
      <c r="E231" s="6" t="s">
        <v>33</v>
      </c>
      <c r="F231" s="51"/>
    </row>
    <row r="232" spans="2:6" s="1" customFormat="1" ht="19.5" customHeight="1" x14ac:dyDescent="0.25">
      <c r="B232" s="5">
        <v>226</v>
      </c>
      <c r="C232" s="6"/>
      <c r="D232" s="16"/>
      <c r="E232" s="6" t="s">
        <v>33</v>
      </c>
      <c r="F232" s="51"/>
    </row>
    <row r="233" spans="2:6" s="1" customFormat="1" ht="19.5" customHeight="1" x14ac:dyDescent="0.25">
      <c r="B233" s="5">
        <v>227</v>
      </c>
      <c r="C233" s="6"/>
      <c r="D233" s="16"/>
      <c r="E233" s="6" t="s">
        <v>33</v>
      </c>
      <c r="F233" s="51"/>
    </row>
    <row r="234" spans="2:6" s="1" customFormat="1" ht="19.5" customHeight="1" x14ac:dyDescent="0.25">
      <c r="B234" s="5">
        <v>228</v>
      </c>
      <c r="C234" s="6"/>
      <c r="D234" s="16"/>
      <c r="E234" s="6" t="s">
        <v>33</v>
      </c>
      <c r="F234" s="51"/>
    </row>
    <row r="235" spans="2:6" s="1" customFormat="1" ht="19.5" customHeight="1" x14ac:dyDescent="0.25">
      <c r="B235" s="5">
        <v>229</v>
      </c>
      <c r="C235" s="6"/>
      <c r="D235" s="16"/>
      <c r="E235" s="6" t="s">
        <v>33</v>
      </c>
      <c r="F235" s="51"/>
    </row>
    <row r="236" spans="2:6" s="1" customFormat="1" ht="19.5" customHeight="1" x14ac:dyDescent="0.25">
      <c r="B236" s="5">
        <v>230</v>
      </c>
      <c r="C236" s="6"/>
      <c r="D236" s="16"/>
      <c r="E236" s="6" t="s">
        <v>33</v>
      </c>
      <c r="F236" s="51"/>
    </row>
    <row r="237" spans="2:6" s="1" customFormat="1" ht="19.5" customHeight="1" x14ac:dyDescent="0.25">
      <c r="B237" s="5">
        <v>231</v>
      </c>
      <c r="C237" s="6"/>
      <c r="D237" s="16"/>
      <c r="E237" s="6" t="s">
        <v>33</v>
      </c>
      <c r="F237" s="51"/>
    </row>
    <row r="238" spans="2:6" s="1" customFormat="1" ht="19.5" customHeight="1" x14ac:dyDescent="0.25">
      <c r="B238" s="5">
        <v>232</v>
      </c>
      <c r="C238" s="6"/>
      <c r="D238" s="16"/>
      <c r="E238" s="6" t="s">
        <v>33</v>
      </c>
      <c r="F238" s="51"/>
    </row>
    <row r="239" spans="2:6" s="1" customFormat="1" ht="19.5" customHeight="1" x14ac:dyDescent="0.25">
      <c r="B239" s="5">
        <v>233</v>
      </c>
      <c r="C239" s="6"/>
      <c r="D239" s="16"/>
      <c r="E239" s="6" t="s">
        <v>33</v>
      </c>
      <c r="F239" s="51"/>
    </row>
    <row r="240" spans="2:6" s="1" customFormat="1" ht="19.5" customHeight="1" x14ac:dyDescent="0.25">
      <c r="B240" s="5">
        <v>234</v>
      </c>
      <c r="C240" s="6"/>
      <c r="D240" s="16"/>
      <c r="E240" s="6" t="s">
        <v>33</v>
      </c>
      <c r="F240" s="51"/>
    </row>
    <row r="241" spans="2:6" s="1" customFormat="1" ht="19.5" customHeight="1" x14ac:dyDescent="0.25">
      <c r="B241" s="5">
        <v>235</v>
      </c>
      <c r="C241" s="6"/>
      <c r="D241" s="16"/>
      <c r="E241" s="6" t="s">
        <v>33</v>
      </c>
      <c r="F241" s="51"/>
    </row>
    <row r="242" spans="2:6" s="1" customFormat="1" ht="19.5" customHeight="1" x14ac:dyDescent="0.25">
      <c r="B242" s="5">
        <v>236</v>
      </c>
      <c r="C242" s="6"/>
      <c r="D242" s="16"/>
      <c r="E242" s="6" t="s">
        <v>33</v>
      </c>
      <c r="F242" s="51"/>
    </row>
    <row r="243" spans="2:6" s="1" customFormat="1" ht="19.5" customHeight="1" x14ac:dyDescent="0.25">
      <c r="B243" s="5">
        <v>237</v>
      </c>
      <c r="C243" s="6"/>
      <c r="D243" s="16"/>
      <c r="E243" s="6" t="s">
        <v>33</v>
      </c>
      <c r="F243" s="51"/>
    </row>
    <row r="244" spans="2:6" s="1" customFormat="1" ht="19.5" customHeight="1" x14ac:dyDescent="0.25">
      <c r="B244" s="5">
        <v>238</v>
      </c>
      <c r="C244" s="6"/>
      <c r="D244" s="16"/>
      <c r="E244" s="6" t="s">
        <v>33</v>
      </c>
      <c r="F244" s="51"/>
    </row>
    <row r="245" spans="2:6" s="1" customFormat="1" ht="19.5" customHeight="1" x14ac:dyDescent="0.25">
      <c r="B245" s="5">
        <v>239</v>
      </c>
      <c r="C245" s="6"/>
      <c r="D245" s="16"/>
      <c r="E245" s="6" t="s">
        <v>33</v>
      </c>
      <c r="F245" s="51"/>
    </row>
    <row r="246" spans="2:6" s="1" customFormat="1" ht="19.5" customHeight="1" x14ac:dyDescent="0.25">
      <c r="B246" s="5">
        <v>240</v>
      </c>
      <c r="C246" s="6"/>
      <c r="D246" s="16"/>
      <c r="E246" s="6" t="s">
        <v>33</v>
      </c>
      <c r="F246" s="51"/>
    </row>
    <row r="247" spans="2:6" s="1" customFormat="1" ht="19.5" customHeight="1" x14ac:dyDescent="0.25">
      <c r="B247" s="5">
        <v>241</v>
      </c>
      <c r="C247" s="6"/>
      <c r="D247" s="16"/>
      <c r="E247" s="6" t="s">
        <v>33</v>
      </c>
      <c r="F247" s="51"/>
    </row>
    <row r="248" spans="2:6" s="1" customFormat="1" ht="19.5" customHeight="1" x14ac:dyDescent="0.25">
      <c r="B248" s="5">
        <v>242</v>
      </c>
      <c r="C248" s="6"/>
      <c r="D248" s="16"/>
      <c r="E248" s="6" t="s">
        <v>33</v>
      </c>
      <c r="F248" s="51"/>
    </row>
    <row r="249" spans="2:6" s="1" customFormat="1" ht="19.5" customHeight="1" x14ac:dyDescent="0.25">
      <c r="B249" s="5">
        <v>243</v>
      </c>
      <c r="C249" s="6"/>
      <c r="D249" s="16"/>
      <c r="E249" s="6" t="s">
        <v>33</v>
      </c>
      <c r="F249" s="51"/>
    </row>
    <row r="250" spans="2:6" s="1" customFormat="1" ht="19.5" customHeight="1" x14ac:dyDescent="0.25">
      <c r="B250" s="5">
        <v>244</v>
      </c>
      <c r="C250" s="6"/>
      <c r="D250" s="16"/>
      <c r="E250" s="6" t="s">
        <v>33</v>
      </c>
      <c r="F250" s="51"/>
    </row>
    <row r="251" spans="2:6" s="1" customFormat="1" ht="19.5" customHeight="1" x14ac:dyDescent="0.25">
      <c r="B251" s="5">
        <v>245</v>
      </c>
      <c r="C251" s="6"/>
      <c r="D251" s="16"/>
      <c r="E251" s="6" t="s">
        <v>33</v>
      </c>
      <c r="F251" s="51"/>
    </row>
    <row r="252" spans="2:6" s="1" customFormat="1" ht="19.5" customHeight="1" x14ac:dyDescent="0.25">
      <c r="B252" s="5">
        <v>246</v>
      </c>
      <c r="C252" s="6"/>
      <c r="D252" s="16"/>
      <c r="E252" s="6" t="s">
        <v>33</v>
      </c>
      <c r="F252" s="51"/>
    </row>
    <row r="253" spans="2:6" s="1" customFormat="1" ht="19.5" customHeight="1" thickBot="1" x14ac:dyDescent="0.3">
      <c r="B253" s="9">
        <v>247</v>
      </c>
      <c r="C253" s="10"/>
      <c r="D253" s="17"/>
      <c r="E253" s="10" t="s">
        <v>33</v>
      </c>
      <c r="F253" s="53"/>
    </row>
    <row r="254" spans="2:6" s="1" customFormat="1" ht="19.5" customHeight="1" x14ac:dyDescent="0.25">
      <c r="B254" s="7">
        <v>248</v>
      </c>
      <c r="C254" s="8" t="s">
        <v>259</v>
      </c>
      <c r="D254" s="15">
        <v>24200</v>
      </c>
      <c r="E254" s="8" t="s">
        <v>33</v>
      </c>
      <c r="F254" s="52" t="s">
        <v>260</v>
      </c>
    </row>
    <row r="255" spans="2:6" s="1" customFormat="1" ht="19.5" customHeight="1" x14ac:dyDescent="0.25">
      <c r="B255" s="5">
        <v>249</v>
      </c>
      <c r="C255" s="6"/>
      <c r="D255" s="16"/>
      <c r="E255" s="6" t="s">
        <v>33</v>
      </c>
      <c r="F255" s="51"/>
    </row>
    <row r="256" spans="2:6" s="1" customFormat="1" ht="19.5" customHeight="1" x14ac:dyDescent="0.25">
      <c r="B256" s="5">
        <v>250</v>
      </c>
      <c r="C256" s="6"/>
      <c r="D256" s="16"/>
      <c r="E256" s="6" t="s">
        <v>33</v>
      </c>
      <c r="F256" s="51"/>
    </row>
    <row r="257" spans="2:6" s="1" customFormat="1" ht="19.5" customHeight="1" x14ac:dyDescent="0.25">
      <c r="B257" s="5">
        <v>251</v>
      </c>
      <c r="C257" s="6"/>
      <c r="D257" s="16"/>
      <c r="E257" s="6" t="s">
        <v>33</v>
      </c>
      <c r="F257" s="51"/>
    </row>
    <row r="258" spans="2:6" s="1" customFormat="1" ht="19.5" customHeight="1" x14ac:dyDescent="0.25">
      <c r="B258" s="5">
        <v>252</v>
      </c>
      <c r="C258" s="6"/>
      <c r="D258" s="16"/>
      <c r="E258" s="6" t="s">
        <v>33</v>
      </c>
      <c r="F258" s="51"/>
    </row>
    <row r="259" spans="2:6" s="1" customFormat="1" ht="19.5" customHeight="1" x14ac:dyDescent="0.25">
      <c r="B259" s="5">
        <v>253</v>
      </c>
      <c r="C259" s="6"/>
      <c r="D259" s="16"/>
      <c r="E259" s="6" t="s">
        <v>33</v>
      </c>
      <c r="F259" s="51"/>
    </row>
    <row r="260" spans="2:6" s="1" customFormat="1" ht="19.5" customHeight="1" x14ac:dyDescent="0.25">
      <c r="B260" s="5">
        <v>254</v>
      </c>
      <c r="C260" s="6"/>
      <c r="D260" s="16"/>
      <c r="E260" s="6" t="s">
        <v>33</v>
      </c>
      <c r="F260" s="51"/>
    </row>
    <row r="261" spans="2:6" s="1" customFormat="1" ht="19.5" customHeight="1" x14ac:dyDescent="0.25">
      <c r="B261" s="5">
        <v>255</v>
      </c>
      <c r="C261" s="6"/>
      <c r="D261" s="16"/>
      <c r="E261" s="6" t="s">
        <v>33</v>
      </c>
      <c r="F261" s="51"/>
    </row>
    <row r="262" spans="2:6" s="1" customFormat="1" ht="19.5" customHeight="1" thickBot="1" x14ac:dyDescent="0.3">
      <c r="B262" s="9">
        <v>256</v>
      </c>
      <c r="C262" s="10"/>
      <c r="D262" s="17"/>
      <c r="E262" s="10" t="s">
        <v>33</v>
      </c>
      <c r="F262" s="53"/>
    </row>
    <row r="263" spans="2:6" s="1" customFormat="1" ht="19.5" customHeight="1" x14ac:dyDescent="0.25">
      <c r="B263" s="7">
        <v>257</v>
      </c>
      <c r="C263" s="8" t="s">
        <v>263</v>
      </c>
      <c r="D263" s="15">
        <v>25000</v>
      </c>
      <c r="E263" s="8" t="s">
        <v>33</v>
      </c>
      <c r="F263" s="52" t="s">
        <v>273</v>
      </c>
    </row>
    <row r="264" spans="2:6" s="1" customFormat="1" ht="19.5" customHeight="1" x14ac:dyDescent="0.25">
      <c r="B264" s="5">
        <v>258</v>
      </c>
      <c r="C264" s="6" t="s">
        <v>264</v>
      </c>
      <c r="D264" s="16">
        <v>28300</v>
      </c>
      <c r="E264" s="6" t="s">
        <v>33</v>
      </c>
      <c r="F264" s="51" t="s">
        <v>273</v>
      </c>
    </row>
    <row r="265" spans="2:6" s="1" customFormat="1" ht="19.5" customHeight="1" x14ac:dyDescent="0.25">
      <c r="B265" s="5">
        <v>259</v>
      </c>
      <c r="C265" s="6" t="s">
        <v>265</v>
      </c>
      <c r="D265" s="16">
        <v>28300</v>
      </c>
      <c r="E265" s="6" t="s">
        <v>33</v>
      </c>
      <c r="F265" s="51" t="s">
        <v>273</v>
      </c>
    </row>
    <row r="266" spans="2:6" s="1" customFormat="1" ht="19.5" customHeight="1" x14ac:dyDescent="0.25">
      <c r="B266" s="5">
        <v>260</v>
      </c>
      <c r="C266" s="6" t="s">
        <v>266</v>
      </c>
      <c r="D266" s="16">
        <v>28300</v>
      </c>
      <c r="E266" s="6" t="s">
        <v>33</v>
      </c>
      <c r="F266" s="51" t="s">
        <v>273</v>
      </c>
    </row>
    <row r="267" spans="2:6" s="1" customFormat="1" ht="19.5" customHeight="1" x14ac:dyDescent="0.25">
      <c r="B267" s="5">
        <v>261</v>
      </c>
      <c r="C267" s="6" t="s">
        <v>267</v>
      </c>
      <c r="D267" s="16">
        <v>28300</v>
      </c>
      <c r="E267" s="6" t="s">
        <v>33</v>
      </c>
      <c r="F267" s="51" t="s">
        <v>273</v>
      </c>
    </row>
    <row r="268" spans="2:6" s="1" customFormat="1" ht="19.5" customHeight="1" x14ac:dyDescent="0.25">
      <c r="B268" s="5">
        <v>262</v>
      </c>
      <c r="C268" s="6" t="s">
        <v>268</v>
      </c>
      <c r="D268" s="16">
        <v>25600</v>
      </c>
      <c r="E268" s="6" t="s">
        <v>33</v>
      </c>
      <c r="F268" s="51" t="s">
        <v>273</v>
      </c>
    </row>
    <row r="269" spans="2:6" s="1" customFormat="1" ht="19.5" customHeight="1" x14ac:dyDescent="0.25">
      <c r="B269" s="5">
        <v>263</v>
      </c>
      <c r="C269" s="6" t="s">
        <v>269</v>
      </c>
      <c r="D269" s="16">
        <v>25600</v>
      </c>
      <c r="E269" s="6" t="s">
        <v>33</v>
      </c>
      <c r="F269" s="51" t="s">
        <v>273</v>
      </c>
    </row>
    <row r="270" spans="2:6" s="1" customFormat="1" ht="19.5" customHeight="1" x14ac:dyDescent="0.25">
      <c r="B270" s="5">
        <v>264</v>
      </c>
      <c r="C270" s="6" t="s">
        <v>270</v>
      </c>
      <c r="D270" s="16">
        <v>26300</v>
      </c>
      <c r="E270" s="6" t="s">
        <v>33</v>
      </c>
      <c r="F270" s="51" t="s">
        <v>273</v>
      </c>
    </row>
    <row r="271" spans="2:6" s="1" customFormat="1" ht="19.5" customHeight="1" x14ac:dyDescent="0.25">
      <c r="B271" s="5">
        <v>265</v>
      </c>
      <c r="C271" s="6" t="s">
        <v>271</v>
      </c>
      <c r="D271" s="16">
        <v>26300</v>
      </c>
      <c r="E271" s="6" t="s">
        <v>33</v>
      </c>
      <c r="F271" s="51" t="s">
        <v>273</v>
      </c>
    </row>
    <row r="272" spans="2:6" s="1" customFormat="1" ht="19.5" customHeight="1" thickBot="1" x14ac:dyDescent="0.3">
      <c r="B272" s="9">
        <v>266</v>
      </c>
      <c r="C272" s="10" t="s">
        <v>272</v>
      </c>
      <c r="D272" s="17">
        <v>25600</v>
      </c>
      <c r="E272" s="10" t="s">
        <v>33</v>
      </c>
      <c r="F272" s="53" t="s">
        <v>273</v>
      </c>
    </row>
    <row r="273" spans="2:6" s="1" customFormat="1" ht="19.5" customHeight="1" x14ac:dyDescent="0.25">
      <c r="B273" s="7">
        <v>267</v>
      </c>
      <c r="C273" s="8"/>
      <c r="D273" s="15"/>
      <c r="E273" s="8" t="s">
        <v>33</v>
      </c>
      <c r="F273" s="52"/>
    </row>
    <row r="274" spans="2:6" s="1" customFormat="1" ht="19.5" customHeight="1" x14ac:dyDescent="0.25">
      <c r="B274" s="5">
        <v>268</v>
      </c>
      <c r="C274" s="6"/>
      <c r="D274" s="16"/>
      <c r="E274" s="6" t="s">
        <v>33</v>
      </c>
      <c r="F274" s="51"/>
    </row>
    <row r="275" spans="2:6" s="1" customFormat="1" ht="19.5" customHeight="1" x14ac:dyDescent="0.25">
      <c r="B275" s="5">
        <v>269</v>
      </c>
      <c r="C275" s="6"/>
      <c r="D275" s="16"/>
      <c r="E275" s="6" t="s">
        <v>33</v>
      </c>
      <c r="F275" s="51"/>
    </row>
    <row r="276" spans="2:6" s="1" customFormat="1" ht="19.5" customHeight="1" x14ac:dyDescent="0.25">
      <c r="B276" s="5">
        <v>270</v>
      </c>
      <c r="C276" s="6"/>
      <c r="D276" s="16"/>
      <c r="E276" s="6" t="s">
        <v>33</v>
      </c>
      <c r="F276" s="51"/>
    </row>
    <row r="277" spans="2:6" s="1" customFormat="1" ht="19.5" customHeight="1" x14ac:dyDescent="0.25">
      <c r="B277" s="5">
        <v>271</v>
      </c>
      <c r="C277" s="6"/>
      <c r="D277" s="16"/>
      <c r="E277" s="6" t="s">
        <v>33</v>
      </c>
      <c r="F277" s="51"/>
    </row>
    <row r="278" spans="2:6" s="1" customFormat="1" ht="19.5" customHeight="1" x14ac:dyDescent="0.25">
      <c r="B278" s="5">
        <v>272</v>
      </c>
      <c r="C278" s="6"/>
      <c r="D278" s="16"/>
      <c r="E278" s="6" t="s">
        <v>33</v>
      </c>
      <c r="F278" s="51"/>
    </row>
    <row r="279" spans="2:6" s="1" customFormat="1" ht="19.5" customHeight="1" x14ac:dyDescent="0.25">
      <c r="B279" s="5">
        <v>273</v>
      </c>
      <c r="C279" s="6"/>
      <c r="D279" s="16"/>
      <c r="E279" s="6" t="s">
        <v>33</v>
      </c>
      <c r="F279" s="51"/>
    </row>
    <row r="280" spans="2:6" s="1" customFormat="1" ht="19.5" customHeight="1" x14ac:dyDescent="0.25">
      <c r="B280" s="5">
        <v>274</v>
      </c>
      <c r="C280" s="6"/>
      <c r="D280" s="16"/>
      <c r="E280" s="6" t="s">
        <v>33</v>
      </c>
      <c r="F280" s="51"/>
    </row>
    <row r="281" spans="2:6" s="1" customFormat="1" ht="19.5" customHeight="1" x14ac:dyDescent="0.25">
      <c r="B281" s="5">
        <v>275</v>
      </c>
      <c r="C281" s="6"/>
      <c r="D281" s="16"/>
      <c r="E281" s="6" t="s">
        <v>33</v>
      </c>
      <c r="F281" s="51"/>
    </row>
    <row r="282" spans="2:6" s="1" customFormat="1" ht="19.5" customHeight="1" x14ac:dyDescent="0.25">
      <c r="B282" s="5">
        <v>276</v>
      </c>
      <c r="C282" s="6"/>
      <c r="D282" s="16"/>
      <c r="E282" s="6" t="s">
        <v>33</v>
      </c>
      <c r="F282" s="51"/>
    </row>
    <row r="283" spans="2:6" s="1" customFormat="1" ht="19.5" customHeight="1" x14ac:dyDescent="0.25">
      <c r="B283" s="5">
        <v>277</v>
      </c>
      <c r="C283" s="6"/>
      <c r="D283" s="16"/>
      <c r="E283" s="6" t="s">
        <v>33</v>
      </c>
      <c r="F283" s="51"/>
    </row>
    <row r="284" spans="2:6" s="1" customFormat="1" ht="19.5" customHeight="1" x14ac:dyDescent="0.25">
      <c r="B284" s="5">
        <v>278</v>
      </c>
      <c r="C284" s="6"/>
      <c r="D284" s="16"/>
      <c r="E284" s="6" t="s">
        <v>33</v>
      </c>
      <c r="F284" s="51"/>
    </row>
    <row r="285" spans="2:6" s="1" customFormat="1" ht="19.5" customHeight="1" x14ac:dyDescent="0.25">
      <c r="B285" s="5">
        <v>279</v>
      </c>
      <c r="C285" s="6"/>
      <c r="D285" s="16"/>
      <c r="E285" s="6" t="s">
        <v>33</v>
      </c>
      <c r="F285" s="51"/>
    </row>
    <row r="286" spans="2:6" s="1" customFormat="1" ht="19.5" customHeight="1" x14ac:dyDescent="0.25">
      <c r="B286" s="5">
        <v>280</v>
      </c>
      <c r="C286" s="6"/>
      <c r="D286" s="16"/>
      <c r="E286" s="6" t="s">
        <v>33</v>
      </c>
      <c r="F286" s="51"/>
    </row>
    <row r="287" spans="2:6" s="1" customFormat="1" ht="19.5" customHeight="1" x14ac:dyDescent="0.25">
      <c r="B287" s="5">
        <v>281</v>
      </c>
      <c r="C287" s="6"/>
      <c r="D287" s="16"/>
      <c r="E287" s="6" t="s">
        <v>33</v>
      </c>
      <c r="F287" s="51"/>
    </row>
    <row r="288" spans="2:6" s="1" customFormat="1" ht="19.5" customHeight="1" x14ac:dyDescent="0.25">
      <c r="B288" s="5">
        <v>282</v>
      </c>
      <c r="C288" s="6"/>
      <c r="D288" s="16"/>
      <c r="E288" s="6" t="s">
        <v>33</v>
      </c>
      <c r="F288" s="51"/>
    </row>
    <row r="289" spans="2:6" s="1" customFormat="1" ht="19.5" customHeight="1" x14ac:dyDescent="0.25">
      <c r="B289" s="5">
        <v>283</v>
      </c>
      <c r="C289" s="6"/>
      <c r="D289" s="16"/>
      <c r="E289" s="6" t="s">
        <v>33</v>
      </c>
      <c r="F289" s="51"/>
    </row>
    <row r="290" spans="2:6" s="1" customFormat="1" ht="19.5" customHeight="1" x14ac:dyDescent="0.25">
      <c r="B290" s="5">
        <v>284</v>
      </c>
      <c r="C290" s="6"/>
      <c r="D290" s="16"/>
      <c r="E290" s="6" t="s">
        <v>33</v>
      </c>
      <c r="F290" s="51"/>
    </row>
    <row r="291" spans="2:6" s="1" customFormat="1" ht="19.5" customHeight="1" x14ac:dyDescent="0.25">
      <c r="B291" s="5">
        <v>285</v>
      </c>
      <c r="C291" s="6"/>
      <c r="D291" s="16"/>
      <c r="E291" s="6" t="s">
        <v>33</v>
      </c>
      <c r="F291" s="51"/>
    </row>
    <row r="292" spans="2:6" s="1" customFormat="1" ht="19.5" customHeight="1" x14ac:dyDescent="0.25">
      <c r="B292" s="5">
        <v>286</v>
      </c>
      <c r="C292" s="6"/>
      <c r="D292" s="16"/>
      <c r="E292" s="6" t="s">
        <v>33</v>
      </c>
      <c r="F292" s="51"/>
    </row>
    <row r="293" spans="2:6" s="1" customFormat="1" ht="19.5" customHeight="1" x14ac:dyDescent="0.25">
      <c r="B293" s="5">
        <v>287</v>
      </c>
      <c r="C293" s="6"/>
      <c r="D293" s="16"/>
      <c r="E293" s="6" t="s">
        <v>33</v>
      </c>
      <c r="F293" s="51"/>
    </row>
    <row r="294" spans="2:6" s="1" customFormat="1" ht="19.5" customHeight="1" x14ac:dyDescent="0.25">
      <c r="B294" s="5">
        <v>288</v>
      </c>
      <c r="C294" s="6"/>
      <c r="D294" s="16"/>
      <c r="E294" s="6" t="s">
        <v>33</v>
      </c>
      <c r="F294" s="51"/>
    </row>
    <row r="295" spans="2:6" s="1" customFormat="1" ht="19.5" customHeight="1" x14ac:dyDescent="0.25">
      <c r="B295" s="5">
        <v>289</v>
      </c>
      <c r="C295" s="6"/>
      <c r="D295" s="16"/>
      <c r="E295" s="6" t="s">
        <v>33</v>
      </c>
      <c r="F295" s="51"/>
    </row>
    <row r="296" spans="2:6" s="1" customFormat="1" ht="19.5" customHeight="1" x14ac:dyDescent="0.25">
      <c r="B296" s="5">
        <v>290</v>
      </c>
      <c r="C296" s="6"/>
      <c r="D296" s="16"/>
      <c r="E296" s="6" t="s">
        <v>33</v>
      </c>
      <c r="F296" s="51"/>
    </row>
    <row r="297" spans="2:6" s="1" customFormat="1" ht="19.5" customHeight="1" x14ac:dyDescent="0.25">
      <c r="B297" s="5">
        <v>291</v>
      </c>
      <c r="C297" s="6"/>
      <c r="D297" s="16"/>
      <c r="E297" s="6" t="s">
        <v>33</v>
      </c>
      <c r="F297" s="51"/>
    </row>
    <row r="298" spans="2:6" s="1" customFormat="1" ht="19.5" customHeight="1" x14ac:dyDescent="0.25">
      <c r="B298" s="5">
        <v>292</v>
      </c>
      <c r="C298" s="6"/>
      <c r="D298" s="16"/>
      <c r="E298" s="6" t="s">
        <v>33</v>
      </c>
      <c r="F298" s="51"/>
    </row>
    <row r="299" spans="2:6" s="1" customFormat="1" ht="19.5" customHeight="1" x14ac:dyDescent="0.25">
      <c r="B299" s="5">
        <v>293</v>
      </c>
      <c r="C299" s="6"/>
      <c r="D299" s="16"/>
      <c r="E299" s="6" t="s">
        <v>33</v>
      </c>
      <c r="F299" s="51"/>
    </row>
    <row r="300" spans="2:6" s="1" customFormat="1" ht="19.5" customHeight="1" x14ac:dyDescent="0.25">
      <c r="B300" s="5">
        <v>294</v>
      </c>
      <c r="C300" s="6"/>
      <c r="D300" s="16"/>
      <c r="E300" s="6" t="s">
        <v>33</v>
      </c>
      <c r="F300" s="51"/>
    </row>
    <row r="301" spans="2:6" s="1" customFormat="1" ht="19.5" customHeight="1" x14ac:dyDescent="0.25">
      <c r="B301" s="5">
        <v>295</v>
      </c>
      <c r="C301" s="6"/>
      <c r="D301" s="16"/>
      <c r="E301" s="6" t="s">
        <v>33</v>
      </c>
      <c r="F301" s="51"/>
    </row>
    <row r="302" spans="2:6" s="1" customFormat="1" ht="19.5" customHeight="1" x14ac:dyDescent="0.25">
      <c r="B302" s="5">
        <v>296</v>
      </c>
      <c r="C302" s="6"/>
      <c r="D302" s="16"/>
      <c r="E302" s="6" t="s">
        <v>33</v>
      </c>
      <c r="F302" s="51"/>
    </row>
    <row r="303" spans="2:6" s="1" customFormat="1" ht="19.5" customHeight="1" x14ac:dyDescent="0.25">
      <c r="B303" s="5">
        <v>297</v>
      </c>
      <c r="C303" s="6"/>
      <c r="D303" s="16"/>
      <c r="E303" s="6" t="s">
        <v>33</v>
      </c>
      <c r="F303" s="51"/>
    </row>
    <row r="304" spans="2:6" s="1" customFormat="1" ht="19.5" customHeight="1" x14ac:dyDescent="0.25">
      <c r="B304" s="5">
        <v>298</v>
      </c>
      <c r="C304" s="6"/>
      <c r="D304" s="16"/>
      <c r="E304" s="6" t="s">
        <v>33</v>
      </c>
      <c r="F304" s="51"/>
    </row>
    <row r="305" spans="2:6" s="1" customFormat="1" ht="19.5" customHeight="1" x14ac:dyDescent="0.25">
      <c r="B305" s="5">
        <v>299</v>
      </c>
      <c r="C305" s="6"/>
      <c r="D305" s="16"/>
      <c r="E305" s="6" t="s">
        <v>33</v>
      </c>
      <c r="F305" s="51"/>
    </row>
    <row r="306" spans="2:6" s="1" customFormat="1" ht="19.5" customHeight="1" x14ac:dyDescent="0.25">
      <c r="B306" s="5">
        <v>300</v>
      </c>
      <c r="C306" s="6"/>
      <c r="D306" s="16"/>
      <c r="E306" s="6" t="s">
        <v>33</v>
      </c>
      <c r="F306" s="51"/>
    </row>
    <row r="307" spans="2:6" s="1" customFormat="1" ht="19.5" customHeight="1" x14ac:dyDescent="0.25">
      <c r="B307" s="5">
        <v>301</v>
      </c>
      <c r="C307" s="6"/>
      <c r="D307" s="16"/>
      <c r="E307" s="6" t="s">
        <v>33</v>
      </c>
      <c r="F307" s="51"/>
    </row>
    <row r="308" spans="2:6" s="1" customFormat="1" ht="19.5" customHeight="1" x14ac:dyDescent="0.25">
      <c r="B308" s="5">
        <v>302</v>
      </c>
      <c r="C308" s="6"/>
      <c r="D308" s="16"/>
      <c r="E308" s="6" t="s">
        <v>33</v>
      </c>
      <c r="F308" s="51"/>
    </row>
    <row r="309" spans="2:6" s="1" customFormat="1" ht="19.5" customHeight="1" x14ac:dyDescent="0.25">
      <c r="B309" s="5">
        <v>303</v>
      </c>
      <c r="C309" s="6"/>
      <c r="D309" s="16"/>
      <c r="E309" s="6" t="s">
        <v>33</v>
      </c>
      <c r="F309" s="51"/>
    </row>
    <row r="310" spans="2:6" s="1" customFormat="1" ht="19.5" customHeight="1" x14ac:dyDescent="0.25">
      <c r="B310" s="5">
        <v>304</v>
      </c>
      <c r="C310" s="6"/>
      <c r="D310" s="16"/>
      <c r="E310" s="6" t="s">
        <v>33</v>
      </c>
      <c r="F310" s="51"/>
    </row>
    <row r="311" spans="2:6" s="1" customFormat="1" ht="19.5" customHeight="1" x14ac:dyDescent="0.25">
      <c r="B311" s="5">
        <v>305</v>
      </c>
      <c r="C311" s="6"/>
      <c r="D311" s="16"/>
      <c r="E311" s="6" t="s">
        <v>33</v>
      </c>
      <c r="F311" s="51"/>
    </row>
    <row r="312" spans="2:6" s="1" customFormat="1" ht="19.5" customHeight="1" x14ac:dyDescent="0.25">
      <c r="B312" s="5">
        <v>306</v>
      </c>
      <c r="C312" s="6"/>
      <c r="D312" s="16"/>
      <c r="E312" s="6" t="s">
        <v>33</v>
      </c>
      <c r="F312" s="51"/>
    </row>
    <row r="313" spans="2:6" s="1" customFormat="1" ht="19.5" customHeight="1" x14ac:dyDescent="0.25">
      <c r="B313" s="5">
        <v>307</v>
      </c>
      <c r="C313" s="6"/>
      <c r="D313" s="16"/>
      <c r="E313" s="6" t="s">
        <v>33</v>
      </c>
      <c r="F313" s="51"/>
    </row>
    <row r="314" spans="2:6" s="1" customFormat="1" ht="19.5" customHeight="1" x14ac:dyDescent="0.25">
      <c r="B314" s="5">
        <v>308</v>
      </c>
      <c r="C314" s="6"/>
      <c r="D314" s="16"/>
      <c r="E314" s="6" t="s">
        <v>33</v>
      </c>
      <c r="F314" s="51"/>
    </row>
    <row r="315" spans="2:6" s="1" customFormat="1" ht="19.5" customHeight="1" x14ac:dyDescent="0.25">
      <c r="B315" s="5">
        <v>309</v>
      </c>
      <c r="C315" s="6"/>
      <c r="D315" s="16"/>
      <c r="E315" s="6" t="s">
        <v>33</v>
      </c>
      <c r="F315" s="51"/>
    </row>
    <row r="316" spans="2:6" s="1" customFormat="1" ht="19.5" customHeight="1" x14ac:dyDescent="0.25">
      <c r="B316" s="5">
        <v>310</v>
      </c>
      <c r="C316" s="6"/>
      <c r="D316" s="16"/>
      <c r="E316" s="6" t="s">
        <v>33</v>
      </c>
      <c r="F316" s="51"/>
    </row>
    <row r="317" spans="2:6" s="1" customFormat="1" ht="19.5" customHeight="1" x14ac:dyDescent="0.25">
      <c r="B317" s="5">
        <v>311</v>
      </c>
      <c r="C317" s="6"/>
      <c r="D317" s="16"/>
      <c r="E317" s="6" t="s">
        <v>33</v>
      </c>
      <c r="F317" s="51"/>
    </row>
    <row r="318" spans="2:6" s="1" customFormat="1" ht="19.5" customHeight="1" x14ac:dyDescent="0.25">
      <c r="B318" s="5">
        <v>312</v>
      </c>
      <c r="C318" s="6"/>
      <c r="D318" s="16"/>
      <c r="E318" s="6" t="s">
        <v>33</v>
      </c>
      <c r="F318" s="51"/>
    </row>
    <row r="319" spans="2:6" s="1" customFormat="1" ht="19.5" customHeight="1" x14ac:dyDescent="0.25">
      <c r="B319" s="5">
        <v>313</v>
      </c>
      <c r="C319" s="6"/>
      <c r="D319" s="16"/>
      <c r="E319" s="6" t="s">
        <v>33</v>
      </c>
      <c r="F319" s="51"/>
    </row>
    <row r="320" spans="2:6" s="1" customFormat="1" ht="19.5" customHeight="1" x14ac:dyDescent="0.25">
      <c r="B320" s="5">
        <v>314</v>
      </c>
      <c r="C320" s="6"/>
      <c r="D320" s="16"/>
      <c r="E320" s="6" t="s">
        <v>33</v>
      </c>
      <c r="F320" s="51"/>
    </row>
    <row r="321" spans="2:6" s="1" customFormat="1" ht="19.5" customHeight="1" x14ac:dyDescent="0.25">
      <c r="B321" s="5">
        <v>315</v>
      </c>
      <c r="C321" s="6"/>
      <c r="D321" s="16"/>
      <c r="E321" s="6" t="s">
        <v>33</v>
      </c>
      <c r="F321" s="51"/>
    </row>
    <row r="322" spans="2:6" s="1" customFormat="1" ht="19.5" customHeight="1" x14ac:dyDescent="0.25">
      <c r="B322" s="5">
        <v>316</v>
      </c>
      <c r="C322" s="6"/>
      <c r="D322" s="16"/>
      <c r="E322" s="6" t="s">
        <v>33</v>
      </c>
      <c r="F322" s="51"/>
    </row>
    <row r="323" spans="2:6" s="1" customFormat="1" ht="19.5" customHeight="1" x14ac:dyDescent="0.25">
      <c r="B323" s="5">
        <v>317</v>
      </c>
      <c r="C323" s="6"/>
      <c r="D323" s="16"/>
      <c r="E323" s="6" t="s">
        <v>33</v>
      </c>
      <c r="F323" s="51"/>
    </row>
    <row r="324" spans="2:6" s="1" customFormat="1" ht="19.5" customHeight="1" x14ac:dyDescent="0.25">
      <c r="B324" s="5">
        <v>318</v>
      </c>
      <c r="C324" s="6"/>
      <c r="D324" s="16"/>
      <c r="E324" s="6" t="s">
        <v>33</v>
      </c>
      <c r="F324" s="51"/>
    </row>
    <row r="325" spans="2:6" s="1" customFormat="1" ht="19.5" customHeight="1" x14ac:dyDescent="0.25">
      <c r="B325" s="5">
        <v>319</v>
      </c>
      <c r="C325" s="6"/>
      <c r="D325" s="16"/>
      <c r="E325" s="6" t="s">
        <v>33</v>
      </c>
      <c r="F325" s="51"/>
    </row>
    <row r="326" spans="2:6" s="1" customFormat="1" ht="19.5" customHeight="1" x14ac:dyDescent="0.25">
      <c r="B326" s="5">
        <v>320</v>
      </c>
      <c r="C326" s="6"/>
      <c r="D326" s="16"/>
      <c r="E326" s="6" t="s">
        <v>33</v>
      </c>
      <c r="F326" s="51"/>
    </row>
    <row r="327" spans="2:6" s="1" customFormat="1" ht="19.5" customHeight="1" x14ac:dyDescent="0.25">
      <c r="B327" s="5">
        <v>321</v>
      </c>
      <c r="C327" s="6"/>
      <c r="D327" s="16"/>
      <c r="E327" s="6" t="s">
        <v>33</v>
      </c>
      <c r="F327" s="51"/>
    </row>
    <row r="328" spans="2:6" s="1" customFormat="1" ht="19.5" customHeight="1" x14ac:dyDescent="0.25">
      <c r="B328" s="5">
        <v>322</v>
      </c>
      <c r="C328" s="6"/>
      <c r="D328" s="16"/>
      <c r="E328" s="6" t="s">
        <v>33</v>
      </c>
      <c r="F328" s="51"/>
    </row>
    <row r="329" spans="2:6" s="1" customFormat="1" ht="19.5" customHeight="1" x14ac:dyDescent="0.25">
      <c r="B329" s="5">
        <v>323</v>
      </c>
      <c r="C329" s="6"/>
      <c r="D329" s="16"/>
      <c r="E329" s="6" t="s">
        <v>33</v>
      </c>
      <c r="F329" s="51"/>
    </row>
    <row r="330" spans="2:6" s="1" customFormat="1" ht="19.5" customHeight="1" x14ac:dyDescent="0.25">
      <c r="B330" s="5">
        <v>324</v>
      </c>
      <c r="C330" s="6"/>
      <c r="D330" s="16"/>
      <c r="E330" s="6" t="s">
        <v>33</v>
      </c>
      <c r="F330" s="51"/>
    </row>
    <row r="331" spans="2:6" s="1" customFormat="1" ht="19.5" customHeight="1" x14ac:dyDescent="0.25">
      <c r="B331" s="5">
        <v>325</v>
      </c>
      <c r="C331" s="6"/>
      <c r="D331" s="16"/>
      <c r="E331" s="6" t="s">
        <v>33</v>
      </c>
      <c r="F331" s="51"/>
    </row>
    <row r="332" spans="2:6" s="1" customFormat="1" ht="19.5" customHeight="1" x14ac:dyDescent="0.25">
      <c r="B332" s="5">
        <v>326</v>
      </c>
      <c r="C332" s="6"/>
      <c r="D332" s="16"/>
      <c r="E332" s="6" t="s">
        <v>33</v>
      </c>
      <c r="F332" s="51"/>
    </row>
    <row r="333" spans="2:6" s="1" customFormat="1" ht="19.5" customHeight="1" x14ac:dyDescent="0.25">
      <c r="B333" s="5">
        <v>327</v>
      </c>
      <c r="C333" s="6"/>
      <c r="D333" s="16"/>
      <c r="E333" s="6" t="s">
        <v>33</v>
      </c>
      <c r="F333" s="51"/>
    </row>
    <row r="334" spans="2:6" s="1" customFormat="1" ht="19.5" customHeight="1" x14ac:dyDescent="0.25">
      <c r="B334" s="5">
        <v>328</v>
      </c>
      <c r="C334" s="6"/>
      <c r="D334" s="16"/>
      <c r="E334" s="6" t="s">
        <v>33</v>
      </c>
      <c r="F334" s="51"/>
    </row>
    <row r="335" spans="2:6" s="1" customFormat="1" ht="19.5" customHeight="1" x14ac:dyDescent="0.25">
      <c r="B335" s="5">
        <v>329</v>
      </c>
      <c r="C335" s="6"/>
      <c r="D335" s="16"/>
      <c r="E335" s="6" t="s">
        <v>33</v>
      </c>
      <c r="F335" s="51"/>
    </row>
    <row r="336" spans="2:6" s="1" customFormat="1" ht="19.5" customHeight="1" x14ac:dyDescent="0.25">
      <c r="B336" s="5">
        <v>330</v>
      </c>
      <c r="C336" s="6"/>
      <c r="D336" s="16"/>
      <c r="E336" s="6" t="s">
        <v>33</v>
      </c>
      <c r="F336" s="51"/>
    </row>
    <row r="337" spans="2:6" s="1" customFormat="1" ht="19.5" customHeight="1" x14ac:dyDescent="0.25">
      <c r="B337" s="5">
        <v>331</v>
      </c>
      <c r="C337" s="6"/>
      <c r="D337" s="16"/>
      <c r="E337" s="6" t="s">
        <v>33</v>
      </c>
      <c r="F337" s="51"/>
    </row>
    <row r="338" spans="2:6" s="1" customFormat="1" ht="19.5" customHeight="1" x14ac:dyDescent="0.25">
      <c r="B338" s="5">
        <v>332</v>
      </c>
      <c r="C338" s="6"/>
      <c r="D338" s="16"/>
      <c r="E338" s="6" t="s">
        <v>33</v>
      </c>
      <c r="F338" s="51"/>
    </row>
    <row r="339" spans="2:6" s="1" customFormat="1" ht="19.5" customHeight="1" x14ac:dyDescent="0.25">
      <c r="B339" s="5">
        <v>333</v>
      </c>
      <c r="C339" s="6"/>
      <c r="D339" s="16"/>
      <c r="E339" s="6" t="s">
        <v>33</v>
      </c>
      <c r="F339" s="51"/>
    </row>
    <row r="340" spans="2:6" s="1" customFormat="1" ht="19.5" customHeight="1" x14ac:dyDescent="0.25">
      <c r="B340" s="5">
        <v>334</v>
      </c>
      <c r="C340" s="6"/>
      <c r="D340" s="16"/>
      <c r="E340" s="6" t="s">
        <v>33</v>
      </c>
      <c r="F340" s="51"/>
    </row>
    <row r="341" spans="2:6" s="1" customFormat="1" ht="19.5" customHeight="1" x14ac:dyDescent="0.25">
      <c r="B341" s="5">
        <v>335</v>
      </c>
      <c r="C341" s="6"/>
      <c r="D341" s="16"/>
      <c r="E341" s="6" t="s">
        <v>33</v>
      </c>
      <c r="F341" s="51"/>
    </row>
    <row r="342" spans="2:6" s="1" customFormat="1" ht="19.5" customHeight="1" x14ac:dyDescent="0.25">
      <c r="B342" s="5">
        <v>336</v>
      </c>
      <c r="C342" s="6"/>
      <c r="D342" s="16"/>
      <c r="E342" s="6" t="s">
        <v>33</v>
      </c>
      <c r="F342" s="51"/>
    </row>
    <row r="343" spans="2:6" s="1" customFormat="1" ht="19.5" customHeight="1" x14ac:dyDescent="0.25">
      <c r="B343" s="5">
        <v>337</v>
      </c>
      <c r="C343" s="6"/>
      <c r="D343" s="16"/>
      <c r="E343" s="6" t="s">
        <v>33</v>
      </c>
      <c r="F343" s="51"/>
    </row>
    <row r="344" spans="2:6" s="1" customFormat="1" ht="19.5" customHeight="1" x14ac:dyDescent="0.25">
      <c r="B344" s="5">
        <v>338</v>
      </c>
      <c r="C344" s="6"/>
      <c r="D344" s="16"/>
      <c r="E344" s="6" t="s">
        <v>33</v>
      </c>
      <c r="F344" s="51"/>
    </row>
    <row r="345" spans="2:6" s="1" customFormat="1" ht="19.5" customHeight="1" x14ac:dyDescent="0.25">
      <c r="B345" s="5">
        <v>339</v>
      </c>
      <c r="C345" s="6"/>
      <c r="D345" s="16"/>
      <c r="E345" s="6" t="s">
        <v>33</v>
      </c>
      <c r="F345" s="51"/>
    </row>
    <row r="346" spans="2:6" s="1" customFormat="1" ht="19.5" customHeight="1" x14ac:dyDescent="0.25">
      <c r="B346" s="5">
        <v>340</v>
      </c>
      <c r="C346" s="6"/>
      <c r="D346" s="16"/>
      <c r="E346" s="6" t="s">
        <v>33</v>
      </c>
      <c r="F346" s="51"/>
    </row>
    <row r="347" spans="2:6" s="1" customFormat="1" ht="19.5" customHeight="1" x14ac:dyDescent="0.25">
      <c r="B347" s="5">
        <v>341</v>
      </c>
      <c r="C347" s="6"/>
      <c r="D347" s="16"/>
      <c r="E347" s="6" t="s">
        <v>33</v>
      </c>
      <c r="F347" s="51"/>
    </row>
    <row r="348" spans="2:6" s="1" customFormat="1" ht="19.5" customHeight="1" x14ac:dyDescent="0.25">
      <c r="B348" s="5">
        <v>342</v>
      </c>
      <c r="C348" s="6"/>
      <c r="D348" s="16"/>
      <c r="E348" s="6" t="s">
        <v>33</v>
      </c>
      <c r="F348" s="51"/>
    </row>
    <row r="349" spans="2:6" s="1" customFormat="1" ht="19.5" customHeight="1" x14ac:dyDescent="0.25">
      <c r="B349" s="5">
        <v>343</v>
      </c>
      <c r="C349" s="6"/>
      <c r="D349" s="16"/>
      <c r="E349" s="6" t="s">
        <v>33</v>
      </c>
      <c r="F349" s="51"/>
    </row>
    <row r="350" spans="2:6" s="1" customFormat="1" ht="19.5" customHeight="1" x14ac:dyDescent="0.25">
      <c r="B350" s="5">
        <v>344</v>
      </c>
      <c r="C350" s="6"/>
      <c r="D350" s="16"/>
      <c r="E350" s="6" t="s">
        <v>33</v>
      </c>
      <c r="F350" s="51"/>
    </row>
    <row r="351" spans="2:6" s="1" customFormat="1" ht="19.5" customHeight="1" x14ac:dyDescent="0.25">
      <c r="B351" s="5">
        <v>345</v>
      </c>
      <c r="C351" s="6"/>
      <c r="D351" s="16"/>
      <c r="E351" s="6" t="s">
        <v>33</v>
      </c>
      <c r="F351" s="51"/>
    </row>
    <row r="352" spans="2:6" s="1" customFormat="1" ht="19.5" customHeight="1" x14ac:dyDescent="0.25">
      <c r="B352" s="5">
        <v>346</v>
      </c>
      <c r="C352" s="6"/>
      <c r="D352" s="16"/>
      <c r="E352" s="6" t="s">
        <v>33</v>
      </c>
      <c r="F352" s="51"/>
    </row>
    <row r="353" spans="2:6" s="1" customFormat="1" ht="19.5" customHeight="1" x14ac:dyDescent="0.25">
      <c r="B353" s="5">
        <v>347</v>
      </c>
      <c r="C353" s="6"/>
      <c r="D353" s="16"/>
      <c r="E353" s="6" t="s">
        <v>33</v>
      </c>
      <c r="F353" s="51"/>
    </row>
    <row r="354" spans="2:6" s="1" customFormat="1" ht="19.5" customHeight="1" x14ac:dyDescent="0.25">
      <c r="B354" s="5">
        <v>348</v>
      </c>
      <c r="C354" s="6"/>
      <c r="D354" s="16"/>
      <c r="E354" s="6" t="s">
        <v>33</v>
      </c>
      <c r="F354" s="51"/>
    </row>
    <row r="355" spans="2:6" s="1" customFormat="1" ht="19.5" customHeight="1" x14ac:dyDescent="0.25">
      <c r="B355" s="5">
        <v>349</v>
      </c>
      <c r="C355" s="6"/>
      <c r="D355" s="16"/>
      <c r="E355" s="6" t="s">
        <v>33</v>
      </c>
      <c r="F355" s="51"/>
    </row>
    <row r="356" spans="2:6" s="1" customFormat="1" ht="19.5" customHeight="1" x14ac:dyDescent="0.25">
      <c r="B356" s="5">
        <v>350</v>
      </c>
      <c r="C356" s="6"/>
      <c r="D356" s="16"/>
      <c r="E356" s="6" t="s">
        <v>33</v>
      </c>
      <c r="F356" s="51"/>
    </row>
    <row r="357" spans="2:6" s="1" customFormat="1" ht="19.5" customHeight="1" x14ac:dyDescent="0.25">
      <c r="B357" s="5">
        <v>351</v>
      </c>
      <c r="C357" s="6"/>
      <c r="D357" s="16"/>
      <c r="E357" s="6" t="s">
        <v>33</v>
      </c>
      <c r="F357" s="51"/>
    </row>
    <row r="358" spans="2:6" s="1" customFormat="1" ht="19.5" customHeight="1" x14ac:dyDescent="0.25">
      <c r="B358" s="5">
        <v>352</v>
      </c>
      <c r="C358" s="6"/>
      <c r="D358" s="16"/>
      <c r="E358" s="6" t="s">
        <v>33</v>
      </c>
      <c r="F358" s="51"/>
    </row>
    <row r="359" spans="2:6" s="1" customFormat="1" ht="19.5" customHeight="1" x14ac:dyDescent="0.25">
      <c r="B359" s="5">
        <v>353</v>
      </c>
      <c r="C359" s="6"/>
      <c r="D359" s="16"/>
      <c r="E359" s="6" t="s">
        <v>33</v>
      </c>
      <c r="F359" s="51"/>
    </row>
    <row r="360" spans="2:6" s="1" customFormat="1" ht="19.5" customHeight="1" x14ac:dyDescent="0.25">
      <c r="B360" s="5">
        <v>354</v>
      </c>
      <c r="C360" s="6"/>
      <c r="D360" s="16"/>
      <c r="E360" s="6" t="s">
        <v>33</v>
      </c>
      <c r="F360" s="51"/>
    </row>
    <row r="361" spans="2:6" s="1" customFormat="1" ht="19.5" customHeight="1" x14ac:dyDescent="0.25">
      <c r="B361" s="5">
        <v>355</v>
      </c>
      <c r="C361" s="6"/>
      <c r="D361" s="16"/>
      <c r="E361" s="6" t="s">
        <v>33</v>
      </c>
      <c r="F361" s="51"/>
    </row>
    <row r="362" spans="2:6" s="1" customFormat="1" ht="19.5" customHeight="1" x14ac:dyDescent="0.25">
      <c r="B362" s="5">
        <v>356</v>
      </c>
      <c r="C362" s="6"/>
      <c r="D362" s="16"/>
      <c r="E362" s="6" t="s">
        <v>33</v>
      </c>
      <c r="F362" s="51"/>
    </row>
    <row r="363" spans="2:6" s="1" customFormat="1" ht="19.5" customHeight="1" x14ac:dyDescent="0.25">
      <c r="B363" s="5">
        <v>357</v>
      </c>
      <c r="C363" s="6"/>
      <c r="D363" s="16"/>
      <c r="E363" s="6" t="s">
        <v>33</v>
      </c>
      <c r="F363" s="51"/>
    </row>
    <row r="364" spans="2:6" s="1" customFormat="1" ht="19.5" customHeight="1" x14ac:dyDescent="0.25">
      <c r="B364" s="5">
        <v>358</v>
      </c>
      <c r="C364" s="6"/>
      <c r="D364" s="16"/>
      <c r="E364" s="6" t="s">
        <v>33</v>
      </c>
      <c r="F364" s="51"/>
    </row>
    <row r="365" spans="2:6" s="1" customFormat="1" ht="19.5" customHeight="1" x14ac:dyDescent="0.25">
      <c r="B365" s="5">
        <v>359</v>
      </c>
      <c r="C365" s="6"/>
      <c r="D365" s="16"/>
      <c r="E365" s="6" t="s">
        <v>33</v>
      </c>
      <c r="F365" s="51"/>
    </row>
    <row r="366" spans="2:6" s="1" customFormat="1" ht="19.5" customHeight="1" x14ac:dyDescent="0.25">
      <c r="B366" s="5">
        <v>360</v>
      </c>
      <c r="C366" s="6"/>
      <c r="D366" s="16"/>
      <c r="E366" s="6" t="s">
        <v>33</v>
      </c>
      <c r="F366" s="51"/>
    </row>
    <row r="367" spans="2:6" s="1" customFormat="1" ht="19.5" customHeight="1" x14ac:dyDescent="0.25">
      <c r="B367" s="5">
        <v>361</v>
      </c>
      <c r="C367" s="6"/>
      <c r="D367" s="16"/>
      <c r="E367" s="6" t="s">
        <v>33</v>
      </c>
      <c r="F367" s="51"/>
    </row>
    <row r="368" spans="2:6" s="1" customFormat="1" ht="19.5" customHeight="1" x14ac:dyDescent="0.25">
      <c r="B368" s="5">
        <v>362</v>
      </c>
      <c r="C368" s="6"/>
      <c r="D368" s="16"/>
      <c r="E368" s="6" t="s">
        <v>33</v>
      </c>
      <c r="F368" s="51"/>
    </row>
    <row r="369" spans="2:6" s="1" customFormat="1" ht="19.5" customHeight="1" x14ac:dyDescent="0.25">
      <c r="B369" s="5">
        <v>363</v>
      </c>
      <c r="C369" s="6"/>
      <c r="D369" s="16"/>
      <c r="E369" s="6" t="s">
        <v>33</v>
      </c>
      <c r="F369" s="51"/>
    </row>
    <row r="370" spans="2:6" s="1" customFormat="1" ht="19.5" customHeight="1" x14ac:dyDescent="0.25">
      <c r="B370" s="5">
        <v>364</v>
      </c>
      <c r="C370" s="6"/>
      <c r="D370" s="16"/>
      <c r="E370" s="6" t="s">
        <v>33</v>
      </c>
      <c r="F370" s="51"/>
    </row>
    <row r="371" spans="2:6" s="1" customFormat="1" ht="19.5" customHeight="1" x14ac:dyDescent="0.25">
      <c r="B371" s="5">
        <v>365</v>
      </c>
      <c r="C371" s="6"/>
      <c r="D371" s="16"/>
      <c r="E371" s="6" t="s">
        <v>33</v>
      </c>
      <c r="F371" s="51"/>
    </row>
    <row r="372" spans="2:6" s="1" customFormat="1" ht="19.5" customHeight="1" x14ac:dyDescent="0.25">
      <c r="B372" s="5">
        <v>366</v>
      </c>
      <c r="C372" s="6"/>
      <c r="D372" s="16"/>
      <c r="E372" s="6" t="s">
        <v>33</v>
      </c>
      <c r="F372" s="51"/>
    </row>
    <row r="373" spans="2:6" s="1" customFormat="1" ht="19.5" customHeight="1" x14ac:dyDescent="0.25">
      <c r="B373" s="5">
        <v>367</v>
      </c>
      <c r="C373" s="6"/>
      <c r="D373" s="16"/>
      <c r="E373" s="6" t="s">
        <v>33</v>
      </c>
      <c r="F373" s="51"/>
    </row>
    <row r="374" spans="2:6" s="1" customFormat="1" ht="19.5" customHeight="1" x14ac:dyDescent="0.25">
      <c r="B374" s="5">
        <v>368</v>
      </c>
      <c r="C374" s="6"/>
      <c r="D374" s="16"/>
      <c r="E374" s="6" t="s">
        <v>33</v>
      </c>
      <c r="F374" s="51"/>
    </row>
    <row r="375" spans="2:6" s="1" customFormat="1" ht="19.5" customHeight="1" x14ac:dyDescent="0.25">
      <c r="B375" s="5">
        <v>369</v>
      </c>
      <c r="C375" s="6"/>
      <c r="D375" s="16"/>
      <c r="E375" s="6" t="s">
        <v>33</v>
      </c>
      <c r="F375" s="51"/>
    </row>
    <row r="376" spans="2:6" s="1" customFormat="1" ht="19.5" customHeight="1" x14ac:dyDescent="0.25">
      <c r="B376" s="5">
        <v>370</v>
      </c>
      <c r="C376" s="6"/>
      <c r="D376" s="16"/>
      <c r="E376" s="6" t="s">
        <v>33</v>
      </c>
      <c r="F376" s="51"/>
    </row>
    <row r="377" spans="2:6" s="1" customFormat="1" ht="19.5" customHeight="1" x14ac:dyDescent="0.25">
      <c r="B377" s="5">
        <v>371</v>
      </c>
      <c r="C377" s="6"/>
      <c r="D377" s="16"/>
      <c r="E377" s="6" t="s">
        <v>33</v>
      </c>
      <c r="F377" s="51"/>
    </row>
    <row r="378" spans="2:6" s="1" customFormat="1" ht="19.5" customHeight="1" x14ac:dyDescent="0.25">
      <c r="B378" s="5">
        <v>372</v>
      </c>
      <c r="C378" s="6"/>
      <c r="D378" s="16"/>
      <c r="E378" s="6" t="s">
        <v>33</v>
      </c>
      <c r="F378" s="51"/>
    </row>
    <row r="379" spans="2:6" s="1" customFormat="1" ht="19.5" customHeight="1" x14ac:dyDescent="0.25">
      <c r="B379" s="5">
        <v>373</v>
      </c>
      <c r="C379" s="6"/>
      <c r="D379" s="16"/>
      <c r="E379" s="6" t="s">
        <v>33</v>
      </c>
      <c r="F379" s="51"/>
    </row>
    <row r="380" spans="2:6" s="1" customFormat="1" ht="19.5" customHeight="1" x14ac:dyDescent="0.25">
      <c r="B380" s="5">
        <v>374</v>
      </c>
      <c r="C380" s="6"/>
      <c r="D380" s="16"/>
      <c r="E380" s="6" t="s">
        <v>33</v>
      </c>
      <c r="F380" s="51"/>
    </row>
    <row r="381" spans="2:6" s="1" customFormat="1" ht="19.5" customHeight="1" x14ac:dyDescent="0.25">
      <c r="B381" s="5">
        <v>375</v>
      </c>
      <c r="C381" s="6"/>
      <c r="D381" s="16"/>
      <c r="E381" s="6" t="s">
        <v>33</v>
      </c>
      <c r="F381" s="51"/>
    </row>
    <row r="382" spans="2:6" s="1" customFormat="1" ht="19.5" customHeight="1" x14ac:dyDescent="0.25">
      <c r="B382" s="5">
        <v>376</v>
      </c>
      <c r="C382" s="6"/>
      <c r="D382" s="16"/>
      <c r="E382" s="6" t="s">
        <v>33</v>
      </c>
      <c r="F382" s="51"/>
    </row>
    <row r="383" spans="2:6" s="1" customFormat="1" ht="19.5" customHeight="1" x14ac:dyDescent="0.25">
      <c r="B383" s="5">
        <v>377</v>
      </c>
      <c r="C383" s="6"/>
      <c r="D383" s="16"/>
      <c r="E383" s="6" t="s">
        <v>33</v>
      </c>
      <c r="F383" s="51"/>
    </row>
    <row r="384" spans="2:6" s="1" customFormat="1" ht="19.5" customHeight="1" x14ac:dyDescent="0.25">
      <c r="B384" s="5">
        <v>378</v>
      </c>
      <c r="C384" s="6"/>
      <c r="D384" s="16"/>
      <c r="E384" s="6" t="s">
        <v>33</v>
      </c>
      <c r="F384" s="51"/>
    </row>
    <row r="385" spans="2:6" s="1" customFormat="1" ht="19.5" customHeight="1" x14ac:dyDescent="0.25">
      <c r="B385" s="5">
        <v>379</v>
      </c>
      <c r="C385" s="6"/>
      <c r="D385" s="16"/>
      <c r="E385" s="6" t="s">
        <v>33</v>
      </c>
      <c r="F385" s="51"/>
    </row>
    <row r="386" spans="2:6" s="1" customFormat="1" ht="19.5" customHeight="1" x14ac:dyDescent="0.25">
      <c r="B386" s="5">
        <v>380</v>
      </c>
      <c r="C386" s="6"/>
      <c r="D386" s="16"/>
      <c r="E386" s="6" t="s">
        <v>33</v>
      </c>
      <c r="F386" s="51"/>
    </row>
    <row r="387" spans="2:6" s="1" customFormat="1" ht="19.5" customHeight="1" x14ac:dyDescent="0.25">
      <c r="B387" s="5">
        <v>381</v>
      </c>
      <c r="C387" s="6"/>
      <c r="D387" s="16"/>
      <c r="E387" s="6" t="s">
        <v>33</v>
      </c>
      <c r="F387" s="51"/>
    </row>
    <row r="388" spans="2:6" s="1" customFormat="1" ht="19.5" customHeight="1" x14ac:dyDescent="0.25">
      <c r="B388" s="5">
        <v>382</v>
      </c>
      <c r="C388" s="6"/>
      <c r="D388" s="16"/>
      <c r="E388" s="6" t="s">
        <v>33</v>
      </c>
      <c r="F388" s="51"/>
    </row>
    <row r="389" spans="2:6" s="1" customFormat="1" ht="19.5" customHeight="1" x14ac:dyDescent="0.25">
      <c r="B389" s="5">
        <v>383</v>
      </c>
      <c r="C389" s="6"/>
      <c r="D389" s="16"/>
      <c r="E389" s="6" t="s">
        <v>33</v>
      </c>
      <c r="F389" s="51"/>
    </row>
    <row r="390" spans="2:6" s="1" customFormat="1" ht="19.5" customHeight="1" x14ac:dyDescent="0.25">
      <c r="B390" s="5">
        <v>384</v>
      </c>
      <c r="C390" s="6"/>
      <c r="D390" s="16"/>
      <c r="E390" s="6" t="s">
        <v>33</v>
      </c>
      <c r="F390" s="51"/>
    </row>
    <row r="391" spans="2:6" s="1" customFormat="1" ht="19.5" customHeight="1" x14ac:dyDescent="0.25">
      <c r="B391" s="5">
        <v>385</v>
      </c>
      <c r="C391" s="6"/>
      <c r="D391" s="16"/>
      <c r="E391" s="6" t="s">
        <v>33</v>
      </c>
      <c r="F391" s="51"/>
    </row>
    <row r="392" spans="2:6" s="1" customFormat="1" ht="19.5" customHeight="1" x14ac:dyDescent="0.25">
      <c r="B392" s="5">
        <v>386</v>
      </c>
      <c r="C392" s="6"/>
      <c r="D392" s="16"/>
      <c r="E392" s="6" t="s">
        <v>33</v>
      </c>
      <c r="F392" s="51"/>
    </row>
    <row r="393" spans="2:6" s="1" customFormat="1" ht="19.5" customHeight="1" x14ac:dyDescent="0.25">
      <c r="B393" s="5">
        <v>387</v>
      </c>
      <c r="C393" s="6"/>
      <c r="D393" s="16"/>
      <c r="E393" s="6" t="s">
        <v>33</v>
      </c>
      <c r="F393" s="51"/>
    </row>
    <row r="394" spans="2:6" s="1" customFormat="1" ht="19.5" customHeight="1" x14ac:dyDescent="0.25">
      <c r="B394" s="5">
        <v>388</v>
      </c>
      <c r="C394" s="6"/>
      <c r="D394" s="16"/>
      <c r="E394" s="6" t="s">
        <v>33</v>
      </c>
      <c r="F394" s="51"/>
    </row>
    <row r="395" spans="2:6" s="1" customFormat="1" ht="19.5" customHeight="1" x14ac:dyDescent="0.25">
      <c r="B395" s="5">
        <v>389</v>
      </c>
      <c r="C395" s="6"/>
      <c r="D395" s="16"/>
      <c r="E395" s="6" t="s">
        <v>33</v>
      </c>
      <c r="F395" s="51"/>
    </row>
    <row r="396" spans="2:6" s="1" customFormat="1" ht="19.5" customHeight="1" x14ac:dyDescent="0.25">
      <c r="B396" s="5">
        <v>390</v>
      </c>
      <c r="C396" s="6"/>
      <c r="D396" s="16"/>
      <c r="E396" s="6" t="s">
        <v>33</v>
      </c>
      <c r="F396" s="51"/>
    </row>
    <row r="397" spans="2:6" s="1" customFormat="1" ht="19.5" customHeight="1" x14ac:dyDescent="0.25">
      <c r="B397" s="5">
        <v>391</v>
      </c>
      <c r="C397" s="6"/>
      <c r="D397" s="16"/>
      <c r="E397" s="6" t="s">
        <v>33</v>
      </c>
      <c r="F397" s="51"/>
    </row>
    <row r="398" spans="2:6" s="1" customFormat="1" ht="19.5" customHeight="1" x14ac:dyDescent="0.25">
      <c r="B398" s="5">
        <v>392</v>
      </c>
      <c r="C398" s="6"/>
      <c r="D398" s="16"/>
      <c r="E398" s="6" t="s">
        <v>33</v>
      </c>
      <c r="F398" s="51"/>
    </row>
    <row r="399" spans="2:6" s="1" customFormat="1" ht="19.5" customHeight="1" x14ac:dyDescent="0.25">
      <c r="B399" s="5">
        <v>393</v>
      </c>
      <c r="C399" s="6"/>
      <c r="D399" s="16"/>
      <c r="E399" s="6" t="s">
        <v>33</v>
      </c>
      <c r="F399" s="51"/>
    </row>
    <row r="400" spans="2:6" s="1" customFormat="1" ht="19.5" customHeight="1" x14ac:dyDescent="0.25">
      <c r="B400" s="5">
        <v>394</v>
      </c>
      <c r="C400" s="6"/>
      <c r="D400" s="16"/>
      <c r="E400" s="6" t="s">
        <v>33</v>
      </c>
      <c r="F400" s="51"/>
    </row>
    <row r="401" spans="2:6" s="1" customFormat="1" ht="19.5" customHeight="1" x14ac:dyDescent="0.25">
      <c r="B401" s="5">
        <v>395</v>
      </c>
      <c r="C401" s="6"/>
      <c r="D401" s="16"/>
      <c r="E401" s="6" t="s">
        <v>33</v>
      </c>
      <c r="F401" s="51"/>
    </row>
    <row r="402" spans="2:6" s="1" customFormat="1" ht="19.5" customHeight="1" x14ac:dyDescent="0.25">
      <c r="B402" s="5">
        <v>396</v>
      </c>
      <c r="C402" s="6"/>
      <c r="D402" s="16"/>
      <c r="E402" s="6" t="s">
        <v>33</v>
      </c>
      <c r="F402" s="51"/>
    </row>
    <row r="403" spans="2:6" s="1" customFormat="1" ht="19.5" customHeight="1" x14ac:dyDescent="0.25">
      <c r="B403" s="5">
        <v>397</v>
      </c>
      <c r="C403" s="6"/>
      <c r="D403" s="16"/>
      <c r="E403" s="6" t="s">
        <v>33</v>
      </c>
      <c r="F403" s="51"/>
    </row>
    <row r="404" spans="2:6" s="1" customFormat="1" ht="19.5" customHeight="1" x14ac:dyDescent="0.25">
      <c r="B404" s="5">
        <v>398</v>
      </c>
      <c r="C404" s="6"/>
      <c r="D404" s="16"/>
      <c r="E404" s="6" t="s">
        <v>33</v>
      </c>
      <c r="F404" s="51"/>
    </row>
    <row r="405" spans="2:6" s="1" customFormat="1" ht="19.5" customHeight="1" x14ac:dyDescent="0.25">
      <c r="B405" s="5">
        <v>399</v>
      </c>
      <c r="C405" s="6"/>
      <c r="D405" s="16"/>
      <c r="E405" s="6" t="s">
        <v>33</v>
      </c>
      <c r="F405" s="51"/>
    </row>
    <row r="406" spans="2:6" s="1" customFormat="1" ht="19.5" customHeight="1" x14ac:dyDescent="0.25">
      <c r="B406" s="5">
        <v>400</v>
      </c>
      <c r="C406" s="6"/>
      <c r="D406" s="16"/>
      <c r="E406" s="6" t="s">
        <v>33</v>
      </c>
      <c r="F406" s="51"/>
    </row>
    <row r="407" spans="2:6" s="1" customFormat="1" ht="19.5" customHeight="1" x14ac:dyDescent="0.25">
      <c r="B407" s="5">
        <v>401</v>
      </c>
      <c r="C407" s="6"/>
      <c r="D407" s="16"/>
      <c r="E407" s="6" t="s">
        <v>33</v>
      </c>
      <c r="F407" s="51"/>
    </row>
    <row r="408" spans="2:6" s="1" customFormat="1" ht="19.5" customHeight="1" x14ac:dyDescent="0.25">
      <c r="B408" s="5">
        <v>402</v>
      </c>
      <c r="C408" s="6"/>
      <c r="D408" s="16"/>
      <c r="E408" s="6" t="s">
        <v>33</v>
      </c>
      <c r="F408" s="51"/>
    </row>
    <row r="409" spans="2:6" s="1" customFormat="1" ht="19.5" customHeight="1" x14ac:dyDescent="0.25">
      <c r="B409" s="5">
        <v>403</v>
      </c>
      <c r="C409" s="6"/>
      <c r="D409" s="16"/>
      <c r="E409" s="6" t="s">
        <v>33</v>
      </c>
      <c r="F409" s="51"/>
    </row>
    <row r="410" spans="2:6" s="1" customFormat="1" ht="19.5" customHeight="1" x14ac:dyDescent="0.25">
      <c r="B410" s="5">
        <v>404</v>
      </c>
      <c r="C410" s="6"/>
      <c r="D410" s="16"/>
      <c r="E410" s="6" t="s">
        <v>33</v>
      </c>
      <c r="F410" s="51"/>
    </row>
    <row r="411" spans="2:6" s="1" customFormat="1" ht="19.5" customHeight="1" x14ac:dyDescent="0.25">
      <c r="B411" s="5">
        <v>405</v>
      </c>
      <c r="C411" s="6"/>
      <c r="D411" s="16"/>
      <c r="E411" s="6" t="s">
        <v>33</v>
      </c>
      <c r="F411" s="51"/>
    </row>
    <row r="412" spans="2:6" s="1" customFormat="1" ht="19.5" customHeight="1" x14ac:dyDescent="0.25">
      <c r="B412" s="5">
        <v>406</v>
      </c>
      <c r="C412" s="6"/>
      <c r="D412" s="16"/>
      <c r="E412" s="6" t="s">
        <v>33</v>
      </c>
      <c r="F412" s="51"/>
    </row>
    <row r="413" spans="2:6" s="1" customFormat="1" ht="19.5" customHeight="1" x14ac:dyDescent="0.25">
      <c r="B413" s="5">
        <v>407</v>
      </c>
      <c r="C413" s="6"/>
      <c r="D413" s="16"/>
      <c r="E413" s="6" t="s">
        <v>33</v>
      </c>
      <c r="F413" s="51"/>
    </row>
    <row r="414" spans="2:6" s="1" customFormat="1" ht="19.5" customHeight="1" x14ac:dyDescent="0.25">
      <c r="B414" s="5">
        <v>408</v>
      </c>
      <c r="C414" s="6"/>
      <c r="D414" s="16"/>
      <c r="E414" s="6" t="s">
        <v>33</v>
      </c>
      <c r="F414" s="51"/>
    </row>
    <row r="415" spans="2:6" s="1" customFormat="1" ht="19.5" customHeight="1" x14ac:dyDescent="0.25">
      <c r="B415" s="5">
        <v>409</v>
      </c>
      <c r="C415" s="6"/>
      <c r="D415" s="16"/>
      <c r="E415" s="6" t="s">
        <v>33</v>
      </c>
      <c r="F415" s="51"/>
    </row>
    <row r="416" spans="2:6" s="1" customFormat="1" ht="19.5" customHeight="1" x14ac:dyDescent="0.25">
      <c r="B416" s="5">
        <v>410</v>
      </c>
      <c r="C416" s="6"/>
      <c r="D416" s="16"/>
      <c r="E416" s="6" t="s">
        <v>33</v>
      </c>
      <c r="F416" s="51"/>
    </row>
    <row r="417" spans="2:6" s="1" customFormat="1" ht="19.5" customHeight="1" x14ac:dyDescent="0.25">
      <c r="B417" s="5">
        <v>411</v>
      </c>
      <c r="C417" s="6"/>
      <c r="D417" s="16"/>
      <c r="E417" s="6" t="s">
        <v>33</v>
      </c>
      <c r="F417" s="51"/>
    </row>
    <row r="418" spans="2:6" s="1" customFormat="1" ht="19.5" customHeight="1" x14ac:dyDescent="0.25">
      <c r="B418" s="5">
        <v>412</v>
      </c>
      <c r="C418" s="6"/>
      <c r="D418" s="16"/>
      <c r="E418" s="6" t="s">
        <v>33</v>
      </c>
      <c r="F418" s="51"/>
    </row>
    <row r="419" spans="2:6" s="1" customFormat="1" ht="19.5" customHeight="1" x14ac:dyDescent="0.25">
      <c r="B419" s="5">
        <v>413</v>
      </c>
      <c r="C419" s="6"/>
      <c r="D419" s="16"/>
      <c r="E419" s="6" t="s">
        <v>33</v>
      </c>
      <c r="F419" s="51"/>
    </row>
    <row r="420" spans="2:6" s="1" customFormat="1" ht="19.5" customHeight="1" x14ac:dyDescent="0.25">
      <c r="B420" s="5">
        <v>414</v>
      </c>
      <c r="C420" s="6"/>
      <c r="D420" s="16"/>
      <c r="E420" s="6" t="s">
        <v>33</v>
      </c>
      <c r="F420" s="51"/>
    </row>
    <row r="421" spans="2:6" s="1" customFormat="1" ht="19.5" customHeight="1" x14ac:dyDescent="0.25">
      <c r="B421" s="5">
        <v>415</v>
      </c>
      <c r="C421" s="6"/>
      <c r="D421" s="16"/>
      <c r="E421" s="6" t="s">
        <v>33</v>
      </c>
      <c r="F421" s="51"/>
    </row>
    <row r="422" spans="2:6" s="1" customFormat="1" ht="19.5" customHeight="1" x14ac:dyDescent="0.25">
      <c r="B422" s="5">
        <v>416</v>
      </c>
      <c r="C422" s="6"/>
      <c r="D422" s="16"/>
      <c r="E422" s="6" t="s">
        <v>33</v>
      </c>
      <c r="F422" s="51"/>
    </row>
    <row r="423" spans="2:6" s="1" customFormat="1" ht="19.5" customHeight="1" x14ac:dyDescent="0.25">
      <c r="B423" s="5">
        <v>417</v>
      </c>
      <c r="C423" s="6"/>
      <c r="D423" s="16"/>
      <c r="E423" s="6" t="s">
        <v>33</v>
      </c>
      <c r="F423" s="51"/>
    </row>
    <row r="424" spans="2:6" s="1" customFormat="1" ht="19.5" customHeight="1" x14ac:dyDescent="0.25">
      <c r="B424" s="5">
        <v>418</v>
      </c>
      <c r="C424" s="6"/>
      <c r="D424" s="16"/>
      <c r="E424" s="6" t="s">
        <v>33</v>
      </c>
      <c r="F424" s="51"/>
    </row>
    <row r="425" spans="2:6" s="1" customFormat="1" ht="19.5" customHeight="1" x14ac:dyDescent="0.25">
      <c r="B425" s="5">
        <v>419</v>
      </c>
      <c r="C425" s="6"/>
      <c r="D425" s="16"/>
      <c r="E425" s="6" t="s">
        <v>33</v>
      </c>
      <c r="F425" s="51"/>
    </row>
    <row r="426" spans="2:6" s="1" customFormat="1" ht="19.5" customHeight="1" x14ac:dyDescent="0.25">
      <c r="B426" s="5">
        <v>420</v>
      </c>
      <c r="C426" s="6"/>
      <c r="D426" s="16"/>
      <c r="E426" s="6" t="s">
        <v>33</v>
      </c>
      <c r="F426" s="51"/>
    </row>
    <row r="427" spans="2:6" s="1" customFormat="1" ht="19.5" customHeight="1" x14ac:dyDescent="0.25">
      <c r="B427" s="5">
        <v>421</v>
      </c>
      <c r="C427" s="6"/>
      <c r="D427" s="16"/>
      <c r="E427" s="6" t="s">
        <v>33</v>
      </c>
      <c r="F427" s="51"/>
    </row>
    <row r="428" spans="2:6" s="1" customFormat="1" ht="19.5" customHeight="1" x14ac:dyDescent="0.25">
      <c r="B428" s="5">
        <v>422</v>
      </c>
      <c r="C428" s="6"/>
      <c r="D428" s="16"/>
      <c r="E428" s="6" t="s">
        <v>33</v>
      </c>
      <c r="F428" s="51"/>
    </row>
    <row r="429" spans="2:6" s="1" customFormat="1" ht="19.5" customHeight="1" x14ac:dyDescent="0.25">
      <c r="B429" s="5">
        <v>423</v>
      </c>
      <c r="C429" s="6"/>
      <c r="D429" s="16"/>
      <c r="E429" s="6" t="s">
        <v>33</v>
      </c>
      <c r="F429" s="51"/>
    </row>
    <row r="430" spans="2:6" s="1" customFormat="1" ht="19.5" customHeight="1" x14ac:dyDescent="0.25">
      <c r="B430" s="5">
        <v>424</v>
      </c>
      <c r="C430" s="6"/>
      <c r="D430" s="16"/>
      <c r="E430" s="6" t="s">
        <v>33</v>
      </c>
      <c r="F430" s="51"/>
    </row>
    <row r="431" spans="2:6" s="1" customFormat="1" ht="19.5" customHeight="1" x14ac:dyDescent="0.25">
      <c r="B431" s="5">
        <v>425</v>
      </c>
      <c r="C431" s="6"/>
      <c r="D431" s="16"/>
      <c r="E431" s="6" t="s">
        <v>33</v>
      </c>
      <c r="F431" s="51"/>
    </row>
    <row r="432" spans="2:6" s="1" customFormat="1" ht="19.5" customHeight="1" x14ac:dyDescent="0.25">
      <c r="B432" s="5">
        <v>426</v>
      </c>
      <c r="C432" s="6"/>
      <c r="D432" s="16"/>
      <c r="E432" s="6" t="s">
        <v>33</v>
      </c>
      <c r="F432" s="51"/>
    </row>
    <row r="433" spans="2:6" s="1" customFormat="1" ht="19.5" customHeight="1" x14ac:dyDescent="0.25">
      <c r="B433" s="5">
        <v>427</v>
      </c>
      <c r="C433" s="6"/>
      <c r="D433" s="16"/>
      <c r="E433" s="6" t="s">
        <v>33</v>
      </c>
      <c r="F433" s="51"/>
    </row>
    <row r="434" spans="2:6" s="1" customFormat="1" ht="19.5" customHeight="1" x14ac:dyDescent="0.25">
      <c r="B434" s="5">
        <v>428</v>
      </c>
      <c r="C434" s="6"/>
      <c r="D434" s="16"/>
      <c r="E434" s="6" t="s">
        <v>33</v>
      </c>
      <c r="F434" s="51"/>
    </row>
    <row r="435" spans="2:6" s="1" customFormat="1" ht="19.5" customHeight="1" x14ac:dyDescent="0.25">
      <c r="B435" s="5">
        <v>429</v>
      </c>
      <c r="C435" s="6"/>
      <c r="D435" s="16"/>
      <c r="E435" s="6" t="s">
        <v>33</v>
      </c>
      <c r="F435" s="51"/>
    </row>
    <row r="436" spans="2:6" s="1" customFormat="1" ht="19.5" customHeight="1" x14ac:dyDescent="0.25">
      <c r="B436" s="5">
        <v>430</v>
      </c>
      <c r="C436" s="6"/>
      <c r="D436" s="16"/>
      <c r="E436" s="6" t="s">
        <v>33</v>
      </c>
      <c r="F436" s="51"/>
    </row>
    <row r="437" spans="2:6" s="1" customFormat="1" ht="19.5" customHeight="1" x14ac:dyDescent="0.25">
      <c r="B437" s="5">
        <v>431</v>
      </c>
      <c r="C437" s="6"/>
      <c r="D437" s="16"/>
      <c r="E437" s="6" t="s">
        <v>33</v>
      </c>
      <c r="F437" s="51"/>
    </row>
    <row r="438" spans="2:6" s="1" customFormat="1" ht="19.5" customHeight="1" x14ac:dyDescent="0.25">
      <c r="B438" s="5">
        <v>432</v>
      </c>
      <c r="C438" s="6"/>
      <c r="D438" s="16"/>
      <c r="E438" s="6" t="s">
        <v>33</v>
      </c>
      <c r="F438" s="51"/>
    </row>
    <row r="439" spans="2:6" s="1" customFormat="1" ht="19.5" customHeight="1" x14ac:dyDescent="0.25">
      <c r="B439" s="5">
        <v>433</v>
      </c>
      <c r="C439" s="6"/>
      <c r="D439" s="16"/>
      <c r="E439" s="6" t="s">
        <v>33</v>
      </c>
      <c r="F439" s="51"/>
    </row>
    <row r="440" spans="2:6" s="1" customFormat="1" ht="19.5" customHeight="1" x14ac:dyDescent="0.25">
      <c r="B440" s="5">
        <v>434</v>
      </c>
      <c r="C440" s="6"/>
      <c r="D440" s="16"/>
      <c r="E440" s="6" t="s">
        <v>33</v>
      </c>
      <c r="F440" s="51"/>
    </row>
    <row r="441" spans="2:6" s="1" customFormat="1" ht="19.5" customHeight="1" x14ac:dyDescent="0.25">
      <c r="B441" s="5">
        <v>435</v>
      </c>
      <c r="C441" s="6"/>
      <c r="D441" s="16"/>
      <c r="E441" s="6" t="s">
        <v>33</v>
      </c>
      <c r="F441" s="51"/>
    </row>
    <row r="442" spans="2:6" s="1" customFormat="1" ht="19.5" customHeight="1" x14ac:dyDescent="0.25">
      <c r="B442" s="5">
        <v>436</v>
      </c>
      <c r="C442" s="6"/>
      <c r="D442" s="16"/>
      <c r="E442" s="6" t="s">
        <v>33</v>
      </c>
      <c r="F442" s="51"/>
    </row>
    <row r="443" spans="2:6" s="1" customFormat="1" ht="19.5" customHeight="1" x14ac:dyDescent="0.25">
      <c r="B443" s="5">
        <v>437</v>
      </c>
      <c r="C443" s="6"/>
      <c r="D443" s="16"/>
      <c r="E443" s="6" t="s">
        <v>33</v>
      </c>
      <c r="F443" s="51"/>
    </row>
    <row r="444" spans="2:6" s="1" customFormat="1" ht="19.5" customHeight="1" x14ac:dyDescent="0.25">
      <c r="B444" s="5">
        <v>438</v>
      </c>
      <c r="C444" s="6"/>
      <c r="D444" s="16"/>
      <c r="E444" s="6" t="s">
        <v>33</v>
      </c>
      <c r="F444" s="51"/>
    </row>
    <row r="445" spans="2:6" s="1" customFormat="1" ht="19.5" customHeight="1" x14ac:dyDescent="0.25">
      <c r="B445" s="5">
        <v>439</v>
      </c>
      <c r="C445" s="6"/>
      <c r="D445" s="16"/>
      <c r="E445" s="6" t="s">
        <v>33</v>
      </c>
      <c r="F445" s="51"/>
    </row>
    <row r="446" spans="2:6" s="1" customFormat="1" ht="19.5" customHeight="1" x14ac:dyDescent="0.25">
      <c r="B446" s="5">
        <v>440</v>
      </c>
      <c r="C446" s="6"/>
      <c r="D446" s="16"/>
      <c r="E446" s="6" t="s">
        <v>33</v>
      </c>
      <c r="F446" s="51"/>
    </row>
    <row r="447" spans="2:6" s="1" customFormat="1" ht="19.5" customHeight="1" x14ac:dyDescent="0.25">
      <c r="B447" s="5">
        <v>441</v>
      </c>
      <c r="C447" s="6"/>
      <c r="D447" s="16"/>
      <c r="E447" s="6" t="s">
        <v>33</v>
      </c>
      <c r="F447" s="51"/>
    </row>
    <row r="448" spans="2:6" s="1" customFormat="1" ht="19.5" customHeight="1" x14ac:dyDescent="0.25">
      <c r="B448" s="5">
        <v>442</v>
      </c>
      <c r="C448" s="6"/>
      <c r="D448" s="16"/>
      <c r="E448" s="6" t="s">
        <v>33</v>
      </c>
      <c r="F448" s="51"/>
    </row>
    <row r="449" spans="2:6" s="1" customFormat="1" ht="19.5" customHeight="1" x14ac:dyDescent="0.25">
      <c r="B449" s="5">
        <v>443</v>
      </c>
      <c r="C449" s="6"/>
      <c r="D449" s="16"/>
      <c r="E449" s="6" t="s">
        <v>33</v>
      </c>
      <c r="F449" s="51"/>
    </row>
    <row r="450" spans="2:6" s="1" customFormat="1" ht="19.5" customHeight="1" x14ac:dyDescent="0.25">
      <c r="B450" s="5">
        <v>444</v>
      </c>
      <c r="C450" s="6"/>
      <c r="D450" s="16"/>
      <c r="E450" s="6" t="s">
        <v>33</v>
      </c>
      <c r="F450" s="51"/>
    </row>
    <row r="451" spans="2:6" s="1" customFormat="1" ht="19.5" customHeight="1" x14ac:dyDescent="0.25">
      <c r="B451" s="5">
        <v>445</v>
      </c>
      <c r="C451" s="6"/>
      <c r="D451" s="16"/>
      <c r="E451" s="6" t="s">
        <v>33</v>
      </c>
      <c r="F451" s="51"/>
    </row>
    <row r="452" spans="2:6" s="1" customFormat="1" ht="19.5" customHeight="1" x14ac:dyDescent="0.25">
      <c r="B452" s="5">
        <v>446</v>
      </c>
      <c r="C452" s="6"/>
      <c r="D452" s="16"/>
      <c r="E452" s="6" t="s">
        <v>33</v>
      </c>
      <c r="F452" s="51"/>
    </row>
    <row r="453" spans="2:6" s="1" customFormat="1" ht="19.5" customHeight="1" x14ac:dyDescent="0.25">
      <c r="B453" s="5">
        <v>447</v>
      </c>
      <c r="C453" s="6"/>
      <c r="D453" s="16"/>
      <c r="E453" s="6" t="s">
        <v>33</v>
      </c>
      <c r="F453" s="51"/>
    </row>
    <row r="454" spans="2:6" s="1" customFormat="1" ht="19.5" customHeight="1" x14ac:dyDescent="0.25">
      <c r="B454" s="5">
        <v>448</v>
      </c>
      <c r="C454" s="6"/>
      <c r="D454" s="16"/>
      <c r="E454" s="6" t="s">
        <v>33</v>
      </c>
      <c r="F454" s="51"/>
    </row>
    <row r="455" spans="2:6" s="1" customFormat="1" ht="19.5" customHeight="1" x14ac:dyDescent="0.25">
      <c r="B455" s="5">
        <v>449</v>
      </c>
      <c r="C455" s="6"/>
      <c r="D455" s="16"/>
      <c r="E455" s="6" t="s">
        <v>33</v>
      </c>
      <c r="F455" s="51"/>
    </row>
    <row r="456" spans="2:6" s="1" customFormat="1" ht="19.5" customHeight="1" x14ac:dyDescent="0.25">
      <c r="B456" s="5">
        <v>450</v>
      </c>
      <c r="C456" s="6"/>
      <c r="D456" s="16"/>
      <c r="E456" s="6" t="s">
        <v>33</v>
      </c>
      <c r="F456" s="51"/>
    </row>
    <row r="457" spans="2:6" s="1" customFormat="1" ht="19.5" customHeight="1" x14ac:dyDescent="0.25">
      <c r="B457" s="5">
        <v>451</v>
      </c>
      <c r="C457" s="6"/>
      <c r="D457" s="16"/>
      <c r="E457" s="6" t="s">
        <v>33</v>
      </c>
      <c r="F457" s="51"/>
    </row>
    <row r="458" spans="2:6" s="1" customFormat="1" ht="19.5" customHeight="1" x14ac:dyDescent="0.25">
      <c r="B458" s="5">
        <v>452</v>
      </c>
      <c r="C458" s="6"/>
      <c r="D458" s="16"/>
      <c r="E458" s="6" t="s">
        <v>33</v>
      </c>
      <c r="F458" s="51"/>
    </row>
    <row r="459" spans="2:6" s="1" customFormat="1" ht="19.5" customHeight="1" x14ac:dyDescent="0.25">
      <c r="B459" s="5">
        <v>453</v>
      </c>
      <c r="C459" s="6"/>
      <c r="D459" s="16"/>
      <c r="E459" s="6" t="s">
        <v>33</v>
      </c>
      <c r="F459" s="51"/>
    </row>
    <row r="460" spans="2:6" s="1" customFormat="1" ht="19.5" customHeight="1" x14ac:dyDescent="0.25">
      <c r="B460" s="5">
        <v>454</v>
      </c>
      <c r="C460" s="6"/>
      <c r="D460" s="16"/>
      <c r="E460" s="6" t="s">
        <v>33</v>
      </c>
      <c r="F460" s="51"/>
    </row>
    <row r="461" spans="2:6" s="1" customFormat="1" ht="19.5" customHeight="1" x14ac:dyDescent="0.25">
      <c r="B461" s="5">
        <v>455</v>
      </c>
      <c r="C461" s="6"/>
      <c r="D461" s="16"/>
      <c r="E461" s="6" t="s">
        <v>33</v>
      </c>
      <c r="F461" s="51"/>
    </row>
    <row r="462" spans="2:6" s="1" customFormat="1" ht="19.5" customHeight="1" x14ac:dyDescent="0.25">
      <c r="B462" s="5">
        <v>456</v>
      </c>
      <c r="C462" s="6"/>
      <c r="D462" s="16"/>
      <c r="E462" s="6" t="s">
        <v>33</v>
      </c>
      <c r="F462" s="51"/>
    </row>
    <row r="463" spans="2:6" s="1" customFormat="1" ht="19.5" customHeight="1" x14ac:dyDescent="0.25">
      <c r="B463" s="5">
        <v>457</v>
      </c>
      <c r="C463" s="6"/>
      <c r="D463" s="16"/>
      <c r="E463" s="6" t="s">
        <v>33</v>
      </c>
      <c r="F463" s="51"/>
    </row>
    <row r="464" spans="2:6" s="1" customFormat="1" ht="19.5" customHeight="1" x14ac:dyDescent="0.25">
      <c r="B464" s="5">
        <v>458</v>
      </c>
      <c r="C464" s="6"/>
      <c r="D464" s="16"/>
      <c r="E464" s="6" t="s">
        <v>33</v>
      </c>
      <c r="F464" s="51"/>
    </row>
    <row r="465" spans="2:6" s="1" customFormat="1" ht="19.5" customHeight="1" x14ac:dyDescent="0.25">
      <c r="B465" s="5">
        <v>459</v>
      </c>
      <c r="C465" s="6"/>
      <c r="D465" s="16"/>
      <c r="E465" s="6" t="s">
        <v>33</v>
      </c>
      <c r="F465" s="51"/>
    </row>
    <row r="466" spans="2:6" s="1" customFormat="1" ht="19.5" customHeight="1" x14ac:dyDescent="0.25">
      <c r="B466" s="5">
        <v>460</v>
      </c>
      <c r="C466" s="6"/>
      <c r="D466" s="16"/>
      <c r="E466" s="6" t="s">
        <v>33</v>
      </c>
      <c r="F466" s="51"/>
    </row>
    <row r="467" spans="2:6" s="1" customFormat="1" ht="19.5" customHeight="1" x14ac:dyDescent="0.25">
      <c r="B467" s="5">
        <v>461</v>
      </c>
      <c r="C467" s="6"/>
      <c r="D467" s="16"/>
      <c r="E467" s="6" t="s">
        <v>33</v>
      </c>
      <c r="F467" s="51"/>
    </row>
    <row r="468" spans="2:6" s="1" customFormat="1" ht="19.5" customHeight="1" x14ac:dyDescent="0.25">
      <c r="B468" s="5">
        <v>462</v>
      </c>
      <c r="C468" s="6"/>
      <c r="D468" s="16"/>
      <c r="E468" s="6" t="s">
        <v>33</v>
      </c>
      <c r="F468" s="51"/>
    </row>
    <row r="469" spans="2:6" s="1" customFormat="1" ht="19.5" customHeight="1" x14ac:dyDescent="0.25">
      <c r="B469" s="5">
        <v>463</v>
      </c>
      <c r="C469" s="6"/>
      <c r="D469" s="16"/>
      <c r="E469" s="6" t="s">
        <v>33</v>
      </c>
      <c r="F469" s="51"/>
    </row>
    <row r="470" spans="2:6" s="1" customFormat="1" ht="19.5" customHeight="1" x14ac:dyDescent="0.25">
      <c r="B470" s="5">
        <v>464</v>
      </c>
      <c r="C470" s="6"/>
      <c r="D470" s="16"/>
      <c r="E470" s="6" t="s">
        <v>33</v>
      </c>
      <c r="F470" s="51"/>
    </row>
    <row r="471" spans="2:6" s="1" customFormat="1" ht="19.5" customHeight="1" x14ac:dyDescent="0.25">
      <c r="B471" s="5">
        <v>465</v>
      </c>
      <c r="C471" s="6"/>
      <c r="D471" s="16"/>
      <c r="E471" s="6" t="s">
        <v>33</v>
      </c>
      <c r="F471" s="51"/>
    </row>
    <row r="472" spans="2:6" s="1" customFormat="1" ht="19.5" customHeight="1" x14ac:dyDescent="0.25">
      <c r="B472" s="5">
        <v>466</v>
      </c>
      <c r="C472" s="6"/>
      <c r="D472" s="16"/>
      <c r="E472" s="6" t="s">
        <v>33</v>
      </c>
      <c r="F472" s="51"/>
    </row>
    <row r="473" spans="2:6" s="1" customFormat="1" ht="19.5" customHeight="1" x14ac:dyDescent="0.25">
      <c r="B473" s="5">
        <v>467</v>
      </c>
      <c r="C473" s="6"/>
      <c r="D473" s="16"/>
      <c r="E473" s="6" t="s">
        <v>33</v>
      </c>
      <c r="F473" s="51"/>
    </row>
    <row r="474" spans="2:6" s="1" customFormat="1" ht="19.5" customHeight="1" x14ac:dyDescent="0.25">
      <c r="B474" s="5">
        <v>468</v>
      </c>
      <c r="C474" s="6"/>
      <c r="D474" s="16"/>
      <c r="E474" s="6" t="s">
        <v>33</v>
      </c>
      <c r="F474" s="51"/>
    </row>
    <row r="475" spans="2:6" s="1" customFormat="1" ht="19.5" customHeight="1" x14ac:dyDescent="0.25">
      <c r="B475" s="5">
        <v>469</v>
      </c>
      <c r="C475" s="6"/>
      <c r="D475" s="16"/>
      <c r="E475" s="6" t="s">
        <v>33</v>
      </c>
      <c r="F475" s="51"/>
    </row>
    <row r="476" spans="2:6" s="1" customFormat="1" ht="19.5" customHeight="1" x14ac:dyDescent="0.25">
      <c r="B476" s="5">
        <v>470</v>
      </c>
      <c r="C476" s="6"/>
      <c r="D476" s="16"/>
      <c r="E476" s="6" t="s">
        <v>33</v>
      </c>
      <c r="F476" s="51"/>
    </row>
    <row r="477" spans="2:6" s="1" customFormat="1" ht="19.5" customHeight="1" x14ac:dyDescent="0.25">
      <c r="B477" s="5">
        <v>471</v>
      </c>
      <c r="C477" s="6"/>
      <c r="D477" s="16"/>
      <c r="E477" s="6" t="s">
        <v>33</v>
      </c>
      <c r="F477" s="51"/>
    </row>
    <row r="478" spans="2:6" s="1" customFormat="1" ht="19.5" customHeight="1" x14ac:dyDescent="0.25">
      <c r="B478" s="5">
        <v>472</v>
      </c>
      <c r="C478" s="6"/>
      <c r="D478" s="16"/>
      <c r="E478" s="6" t="s">
        <v>33</v>
      </c>
      <c r="F478" s="51"/>
    </row>
    <row r="479" spans="2:6" s="1" customFormat="1" ht="19.5" customHeight="1" x14ac:dyDescent="0.25">
      <c r="B479" s="5">
        <v>473</v>
      </c>
      <c r="C479" s="6"/>
      <c r="D479" s="16"/>
      <c r="E479" s="6" t="s">
        <v>33</v>
      </c>
      <c r="F479" s="51"/>
    </row>
    <row r="480" spans="2:6" s="1" customFormat="1" ht="19.5" customHeight="1" x14ac:dyDescent="0.25">
      <c r="B480" s="5">
        <v>474</v>
      </c>
      <c r="C480" s="6"/>
      <c r="D480" s="16"/>
      <c r="E480" s="6" t="s">
        <v>33</v>
      </c>
      <c r="F480" s="51"/>
    </row>
    <row r="481" spans="2:6" s="1" customFormat="1" ht="19.5" customHeight="1" x14ac:dyDescent="0.25">
      <c r="B481" s="5">
        <v>475</v>
      </c>
      <c r="C481" s="6"/>
      <c r="D481" s="16"/>
      <c r="E481" s="6" t="s">
        <v>33</v>
      </c>
      <c r="F481" s="51"/>
    </row>
    <row r="482" spans="2:6" s="1" customFormat="1" ht="19.5" customHeight="1" x14ac:dyDescent="0.25">
      <c r="B482" s="5">
        <v>476</v>
      </c>
      <c r="C482" s="6"/>
      <c r="D482" s="16"/>
      <c r="E482" s="6" t="s">
        <v>33</v>
      </c>
      <c r="F482" s="51"/>
    </row>
    <row r="483" spans="2:6" s="1" customFormat="1" ht="19.5" customHeight="1" x14ac:dyDescent="0.25">
      <c r="B483" s="5">
        <v>477</v>
      </c>
      <c r="C483" s="6"/>
      <c r="D483" s="16"/>
      <c r="E483" s="6" t="s">
        <v>33</v>
      </c>
      <c r="F483" s="51"/>
    </row>
    <row r="484" spans="2:6" s="1" customFormat="1" ht="19.5" customHeight="1" x14ac:dyDescent="0.25">
      <c r="B484" s="5">
        <v>478</v>
      </c>
      <c r="C484" s="6"/>
      <c r="D484" s="16"/>
      <c r="E484" s="6" t="s">
        <v>33</v>
      </c>
      <c r="F484" s="51"/>
    </row>
    <row r="485" spans="2:6" s="1" customFormat="1" ht="19.5" customHeight="1" x14ac:dyDescent="0.25">
      <c r="B485" s="5">
        <v>479</v>
      </c>
      <c r="C485" s="6"/>
      <c r="D485" s="16"/>
      <c r="E485" s="6" t="s">
        <v>33</v>
      </c>
      <c r="F485" s="51"/>
    </row>
    <row r="486" spans="2:6" s="1" customFormat="1" ht="19.5" customHeight="1" x14ac:dyDescent="0.25">
      <c r="B486" s="5">
        <v>480</v>
      </c>
      <c r="C486" s="6"/>
      <c r="D486" s="16"/>
      <c r="E486" s="6" t="s">
        <v>33</v>
      </c>
      <c r="F486" s="51"/>
    </row>
    <row r="487" spans="2:6" s="1" customFormat="1" ht="19.5" customHeight="1" x14ac:dyDescent="0.25">
      <c r="B487" s="5">
        <v>481</v>
      </c>
      <c r="C487" s="6"/>
      <c r="D487" s="16"/>
      <c r="E487" s="6" t="s">
        <v>33</v>
      </c>
      <c r="F487" s="51"/>
    </row>
    <row r="488" spans="2:6" s="1" customFormat="1" ht="19.5" customHeight="1" x14ac:dyDescent="0.25">
      <c r="B488" s="5">
        <v>482</v>
      </c>
      <c r="C488" s="6"/>
      <c r="D488" s="16"/>
      <c r="E488" s="6" t="s">
        <v>33</v>
      </c>
      <c r="F488" s="51"/>
    </row>
    <row r="489" spans="2:6" s="1" customFormat="1" ht="19.5" customHeight="1" x14ac:dyDescent="0.25">
      <c r="B489" s="5">
        <v>483</v>
      </c>
      <c r="C489" s="6"/>
      <c r="D489" s="16"/>
      <c r="E489" s="6" t="s">
        <v>33</v>
      </c>
      <c r="F489" s="51"/>
    </row>
    <row r="490" spans="2:6" s="1" customFormat="1" ht="19.5" customHeight="1" x14ac:dyDescent="0.25">
      <c r="B490" s="5">
        <v>484</v>
      </c>
      <c r="C490" s="6"/>
      <c r="D490" s="16"/>
      <c r="E490" s="6" t="s">
        <v>33</v>
      </c>
      <c r="F490" s="51"/>
    </row>
    <row r="491" spans="2:6" s="1" customFormat="1" ht="19.5" customHeight="1" x14ac:dyDescent="0.25">
      <c r="B491" s="5">
        <v>485</v>
      </c>
      <c r="C491" s="6"/>
      <c r="D491" s="16"/>
      <c r="E491" s="6" t="s">
        <v>33</v>
      </c>
      <c r="F491" s="51"/>
    </row>
    <row r="492" spans="2:6" s="1" customFormat="1" ht="19.5" customHeight="1" x14ac:dyDescent="0.25">
      <c r="B492" s="5">
        <v>486</v>
      </c>
      <c r="C492" s="6"/>
      <c r="D492" s="16"/>
      <c r="E492" s="6" t="s">
        <v>33</v>
      </c>
      <c r="F492" s="51"/>
    </row>
    <row r="493" spans="2:6" s="1" customFormat="1" ht="19.5" customHeight="1" x14ac:dyDescent="0.25">
      <c r="B493" s="5">
        <v>487</v>
      </c>
      <c r="C493" s="6"/>
      <c r="D493" s="16"/>
      <c r="E493" s="6" t="s">
        <v>33</v>
      </c>
      <c r="F493" s="51"/>
    </row>
    <row r="494" spans="2:6" s="1" customFormat="1" ht="19.5" customHeight="1" x14ac:dyDescent="0.25">
      <c r="B494" s="5">
        <v>488</v>
      </c>
      <c r="C494" s="6"/>
      <c r="D494" s="16"/>
      <c r="E494" s="6" t="s">
        <v>33</v>
      </c>
      <c r="F494" s="51"/>
    </row>
    <row r="495" spans="2:6" s="1" customFormat="1" ht="19.5" customHeight="1" x14ac:dyDescent="0.25">
      <c r="B495" s="5">
        <v>489</v>
      </c>
      <c r="C495" s="6"/>
      <c r="D495" s="16"/>
      <c r="E495" s="6" t="s">
        <v>33</v>
      </c>
      <c r="F495" s="51"/>
    </row>
    <row r="496" spans="2:6" s="1" customFormat="1" ht="19.5" customHeight="1" x14ac:dyDescent="0.25">
      <c r="B496" s="5">
        <v>490</v>
      </c>
      <c r="C496" s="6"/>
      <c r="D496" s="16"/>
      <c r="E496" s="6" t="s">
        <v>33</v>
      </c>
      <c r="F496" s="51"/>
    </row>
    <row r="497" spans="2:6" s="1" customFormat="1" ht="19.5" customHeight="1" x14ac:dyDescent="0.25">
      <c r="B497" s="5">
        <v>491</v>
      </c>
      <c r="C497" s="6"/>
      <c r="D497" s="16"/>
      <c r="E497" s="6" t="s">
        <v>33</v>
      </c>
      <c r="F497" s="51"/>
    </row>
    <row r="498" spans="2:6" s="1" customFormat="1" ht="19.5" customHeight="1" x14ac:dyDescent="0.25">
      <c r="B498" s="5">
        <v>492</v>
      </c>
      <c r="C498" s="6"/>
      <c r="D498" s="16"/>
      <c r="E498" s="6" t="s">
        <v>33</v>
      </c>
      <c r="F498" s="51"/>
    </row>
    <row r="499" spans="2:6" s="1" customFormat="1" ht="19.5" customHeight="1" x14ac:dyDescent="0.25">
      <c r="B499" s="5">
        <v>493</v>
      </c>
      <c r="C499" s="6"/>
      <c r="D499" s="16"/>
      <c r="E499" s="6" t="s">
        <v>33</v>
      </c>
      <c r="F499" s="51"/>
    </row>
    <row r="500" spans="2:6" s="1" customFormat="1" ht="19.5" customHeight="1" x14ac:dyDescent="0.25">
      <c r="B500" s="5">
        <v>494</v>
      </c>
      <c r="C500" s="6"/>
      <c r="D500" s="16"/>
      <c r="E500" s="6" t="s">
        <v>33</v>
      </c>
      <c r="F500" s="51"/>
    </row>
    <row r="501" spans="2:6" s="1" customFormat="1" ht="19.5" customHeight="1" x14ac:dyDescent="0.25">
      <c r="B501" s="5">
        <v>495</v>
      </c>
      <c r="C501" s="6"/>
      <c r="D501" s="16"/>
      <c r="E501" s="6" t="s">
        <v>33</v>
      </c>
      <c r="F501" s="51"/>
    </row>
    <row r="502" spans="2:6" s="1" customFormat="1" ht="19.5" customHeight="1" x14ac:dyDescent="0.25">
      <c r="B502" s="5">
        <v>496</v>
      </c>
      <c r="C502" s="6"/>
      <c r="D502" s="16"/>
      <c r="E502" s="6" t="s">
        <v>33</v>
      </c>
      <c r="F502" s="51"/>
    </row>
    <row r="503" spans="2:6" s="1" customFormat="1" ht="19.5" customHeight="1" x14ac:dyDescent="0.25">
      <c r="B503" s="5">
        <v>497</v>
      </c>
      <c r="C503" s="6"/>
      <c r="D503" s="16"/>
      <c r="E503" s="6" t="s">
        <v>33</v>
      </c>
      <c r="F503" s="51"/>
    </row>
    <row r="504" spans="2:6" s="1" customFormat="1" ht="19.5" customHeight="1" x14ac:dyDescent="0.25">
      <c r="B504" s="5">
        <v>498</v>
      </c>
      <c r="C504" s="6"/>
      <c r="D504" s="16"/>
      <c r="E504" s="6" t="s">
        <v>33</v>
      </c>
      <c r="F504" s="51"/>
    </row>
  </sheetData>
  <mergeCells count="1">
    <mergeCell ref="B2:F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2AE14-8DC2-46C3-AAAE-090E32CCE62B}">
  <sheetPr codeName="Foglio5"/>
  <dimension ref="B1:E31"/>
  <sheetViews>
    <sheetView topLeftCell="A7" workbookViewId="0">
      <selection activeCell="B16" sqref="B16"/>
    </sheetView>
  </sheetViews>
  <sheetFormatPr defaultRowHeight="15" x14ac:dyDescent="0.25"/>
  <cols>
    <col min="1" max="1" width="27.42578125" customWidth="1"/>
    <col min="2" max="2" width="13.42578125" customWidth="1"/>
    <col min="4" max="4" width="32.7109375" customWidth="1"/>
    <col min="5" max="5" width="14.85546875" customWidth="1"/>
  </cols>
  <sheetData>
    <row r="1" spans="2:5" x14ac:dyDescent="0.25">
      <c r="D1" s="330" t="s">
        <v>349</v>
      </c>
      <c r="E1" s="330"/>
    </row>
    <row r="2" spans="2:5" x14ac:dyDescent="0.25">
      <c r="C2" s="1"/>
      <c r="D2" t="s">
        <v>320</v>
      </c>
      <c r="E2" t="s">
        <v>325</v>
      </c>
    </row>
    <row r="3" spans="2:5" x14ac:dyDescent="0.25">
      <c r="C3" s="1"/>
      <c r="D3" t="s">
        <v>321</v>
      </c>
      <c r="E3" t="s">
        <v>325</v>
      </c>
    </row>
    <row r="4" spans="2:5" x14ac:dyDescent="0.25">
      <c r="C4" s="1"/>
      <c r="D4" t="s">
        <v>322</v>
      </c>
      <c r="E4" t="s">
        <v>325</v>
      </c>
    </row>
    <row r="5" spans="2:5" x14ac:dyDescent="0.25">
      <c r="C5" s="1"/>
      <c r="D5" t="s">
        <v>323</v>
      </c>
      <c r="E5" t="s">
        <v>325</v>
      </c>
    </row>
    <row r="6" spans="2:5" x14ac:dyDescent="0.25">
      <c r="C6" s="1"/>
      <c r="D6" t="s">
        <v>324</v>
      </c>
      <c r="E6" t="s">
        <v>325</v>
      </c>
    </row>
    <row r="7" spans="2:5" x14ac:dyDescent="0.25">
      <c r="C7" s="1"/>
      <c r="D7" t="s">
        <v>326</v>
      </c>
      <c r="E7" t="s">
        <v>325</v>
      </c>
    </row>
    <row r="8" spans="2:5" x14ac:dyDescent="0.25">
      <c r="C8" s="1"/>
      <c r="D8" t="s">
        <v>327</v>
      </c>
      <c r="E8" t="s">
        <v>325</v>
      </c>
    </row>
    <row r="9" spans="2:5" x14ac:dyDescent="0.25">
      <c r="C9" s="1"/>
      <c r="D9" t="s">
        <v>328</v>
      </c>
      <c r="E9" t="s">
        <v>325</v>
      </c>
    </row>
    <row r="10" spans="2:5" x14ac:dyDescent="0.25">
      <c r="C10" s="1"/>
      <c r="D10" t="s">
        <v>329</v>
      </c>
      <c r="E10" t="s">
        <v>325</v>
      </c>
    </row>
    <row r="11" spans="2:5" x14ac:dyDescent="0.25">
      <c r="C11" s="1"/>
      <c r="D11" t="s">
        <v>330</v>
      </c>
      <c r="E11" t="s">
        <v>325</v>
      </c>
    </row>
    <row r="12" spans="2:5" x14ac:dyDescent="0.25">
      <c r="C12" s="1"/>
      <c r="D12" t="s">
        <v>331</v>
      </c>
      <c r="E12" t="s">
        <v>325</v>
      </c>
    </row>
    <row r="13" spans="2:5" x14ac:dyDescent="0.25">
      <c r="C13" s="1"/>
      <c r="D13" t="s">
        <v>332</v>
      </c>
      <c r="E13" t="s">
        <v>325</v>
      </c>
    </row>
    <row r="14" spans="2:5" x14ac:dyDescent="0.25">
      <c r="C14" s="1"/>
      <c r="D14" t="s">
        <v>333</v>
      </c>
      <c r="E14" t="s">
        <v>325</v>
      </c>
    </row>
    <row r="15" spans="2:5" x14ac:dyDescent="0.25">
      <c r="C15" s="1"/>
      <c r="D15" t="s">
        <v>334</v>
      </c>
      <c r="E15" t="s">
        <v>325</v>
      </c>
    </row>
    <row r="16" spans="2:5" x14ac:dyDescent="0.25">
      <c r="B16" t="s">
        <v>325</v>
      </c>
      <c r="C16" s="1"/>
      <c r="D16" t="s">
        <v>335</v>
      </c>
      <c r="E16" t="s">
        <v>325</v>
      </c>
    </row>
    <row r="17" spans="2:5" x14ac:dyDescent="0.25">
      <c r="B17" t="s">
        <v>337</v>
      </c>
      <c r="C17" s="1"/>
      <c r="D17" t="s">
        <v>336</v>
      </c>
      <c r="E17" t="s">
        <v>325</v>
      </c>
    </row>
    <row r="18" spans="2:5" x14ac:dyDescent="0.25">
      <c r="B18" t="s">
        <v>338</v>
      </c>
      <c r="C18" s="1"/>
      <c r="D18" t="s">
        <v>337</v>
      </c>
      <c r="E18" t="s">
        <v>337</v>
      </c>
    </row>
    <row r="19" spans="2:5" x14ac:dyDescent="0.25">
      <c r="B19" t="s">
        <v>339</v>
      </c>
      <c r="C19" s="1"/>
      <c r="D19" t="s">
        <v>338</v>
      </c>
      <c r="E19" t="s">
        <v>338</v>
      </c>
    </row>
    <row r="20" spans="2:5" x14ac:dyDescent="0.25">
      <c r="B20" t="s">
        <v>340</v>
      </c>
      <c r="C20" s="1"/>
      <c r="D20" t="s">
        <v>339</v>
      </c>
      <c r="E20" t="s">
        <v>339</v>
      </c>
    </row>
    <row r="21" spans="2:5" x14ac:dyDescent="0.25">
      <c r="B21" t="s">
        <v>341</v>
      </c>
      <c r="C21" s="1"/>
      <c r="D21" t="s">
        <v>340</v>
      </c>
      <c r="E21" t="s">
        <v>340</v>
      </c>
    </row>
    <row r="22" spans="2:5" x14ac:dyDescent="0.25">
      <c r="B22" t="s">
        <v>342</v>
      </c>
      <c r="C22" s="1"/>
      <c r="D22" t="s">
        <v>341</v>
      </c>
      <c r="E22" t="s">
        <v>341</v>
      </c>
    </row>
    <row r="23" spans="2:5" x14ac:dyDescent="0.25">
      <c r="B23" t="s">
        <v>343</v>
      </c>
      <c r="C23" s="1"/>
      <c r="D23" t="s">
        <v>342</v>
      </c>
      <c r="E23" t="s">
        <v>342</v>
      </c>
    </row>
    <row r="24" spans="2:5" x14ac:dyDescent="0.25">
      <c r="B24" t="s">
        <v>344</v>
      </c>
      <c r="C24" s="1"/>
      <c r="D24" t="s">
        <v>343</v>
      </c>
      <c r="E24" t="s">
        <v>343</v>
      </c>
    </row>
    <row r="25" spans="2:5" x14ac:dyDescent="0.25">
      <c r="B25" t="s">
        <v>345</v>
      </c>
      <c r="C25" s="1"/>
      <c r="D25" t="s">
        <v>344</v>
      </c>
      <c r="E25" t="s">
        <v>344</v>
      </c>
    </row>
    <row r="26" spans="2:5" x14ac:dyDescent="0.25">
      <c r="B26" t="s">
        <v>286</v>
      </c>
      <c r="C26" s="1"/>
      <c r="D26" t="s">
        <v>345</v>
      </c>
      <c r="E26" t="s">
        <v>345</v>
      </c>
    </row>
    <row r="27" spans="2:5" x14ac:dyDescent="0.25">
      <c r="B27" t="s">
        <v>291</v>
      </c>
      <c r="C27" s="1"/>
      <c r="D27" t="s">
        <v>286</v>
      </c>
      <c r="E27" t="s">
        <v>286</v>
      </c>
    </row>
    <row r="28" spans="2:5" x14ac:dyDescent="0.25">
      <c r="B28" s="167" t="s">
        <v>292</v>
      </c>
      <c r="C28" s="1"/>
      <c r="D28" t="s">
        <v>346</v>
      </c>
      <c r="E28" t="s">
        <v>291</v>
      </c>
    </row>
    <row r="29" spans="2:5" x14ac:dyDescent="0.25">
      <c r="C29" s="1"/>
      <c r="D29" t="s">
        <v>347</v>
      </c>
      <c r="E29" t="s">
        <v>292</v>
      </c>
    </row>
    <row r="30" spans="2:5" x14ac:dyDescent="0.25">
      <c r="B30" s="163"/>
      <c r="C30" s="1"/>
      <c r="D30" t="s">
        <v>348</v>
      </c>
      <c r="E30" t="s">
        <v>292</v>
      </c>
    </row>
    <row r="31" spans="2:5" x14ac:dyDescent="0.25">
      <c r="B31" s="163"/>
    </row>
  </sheetData>
  <mergeCells count="1">
    <mergeCell ref="D1:E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5</vt:i4>
      </vt:variant>
      <vt:variant>
        <vt:lpstr>Intervalli denominati</vt:lpstr>
      </vt:variant>
      <vt:variant>
        <vt:i4>2</vt:i4>
      </vt:variant>
    </vt:vector>
  </HeadingPairs>
  <TitlesOfParts>
    <vt:vector size="7" baseType="lpstr">
      <vt:lpstr>ENTRATE</vt:lpstr>
      <vt:lpstr>Zona di Carico</vt:lpstr>
      <vt:lpstr>STATS S.</vt:lpstr>
      <vt:lpstr>TARE</vt:lpstr>
      <vt:lpstr>MERCI</vt:lpstr>
      <vt:lpstr>'STATS S.'!COILS</vt:lpstr>
      <vt:lpstr>SPUNTATORI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marco rosini</dc:creator>
  <cp:lastModifiedBy>marco rosini</cp:lastModifiedBy>
  <dcterms:created xsi:type="dcterms:W3CDTF">2006-09-16T00:00:00Z</dcterms:created>
  <dcterms:modified xsi:type="dcterms:W3CDTF">2024-10-15T09:57:15Z</dcterms:modified>
</cp:coreProperties>
</file>